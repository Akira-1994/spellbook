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說明" sheetId="1" state="visible" r:id="rId1"/>
    <sheet name="職業對照" sheetId="2" state="visible" r:id="rId2"/>
    <sheet name="等級修正" sheetId="3" state="visible" r:id="rId3"/>
    <sheet name="學派疑義" sheetId="4" state="visible" r:id="rId4"/>
    <sheet name="標準職業表" sheetId="5" state="visible" r:id="rId5"/>
  </sheets>
  <definedNames>
    <definedName name="_xlnm._FilterDatabase" localSheetId="1" hidden="1">'職業對照'!$A$1:$I$208</definedName>
    <definedName name="_xlnm._FilterDatabase" localSheetId="2" hidden="1">'等級修正'!$A$1:$G$16</definedName>
    <definedName name="_xlnm._FilterDatabase" localSheetId="3" hidden="1">'學派疑義'!$A$1:$H$35</definedName>
    <definedName name="_xlnm._FilterDatabase" localSheetId="4" hidden="1">'標準職業表'!$A$1:$F$114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Arial"/>
      <b val="1"/>
      <color theme="1"/>
      <sz val="14"/>
    </font>
    <font>
      <name val="Arial"/>
      <b val="1"/>
      <color theme="1"/>
    </font>
    <font>
      <name val="Arial"/>
      <color theme="1"/>
    </font>
    <font>
      <name val="Arial"/>
      <b val="1"/>
      <color rgb="FFFFFFFF"/>
    </font>
    <font>
      <name val="Arial"/>
      <b val="1"/>
      <color theme="1"/>
      <sz val="12"/>
    </font>
  </fonts>
  <fills count="5">
    <fill>
      <patternFill/>
    </fill>
    <fill>
      <patternFill patternType="lightGray"/>
    </fill>
    <fill>
      <patternFill patternType="solid">
        <fgColor rgb="FF13243C"/>
        <bgColor rgb="FF13243C"/>
      </patternFill>
    </fill>
    <fill>
      <patternFill patternType="solid">
        <fgColor rgb="FFFFF2A8"/>
        <bgColor rgb="FFFFF2A8"/>
      </patternFill>
    </fill>
    <fill>
      <patternFill patternType="solid">
        <fgColor rgb="FFF6E9E5"/>
        <bgColor rgb="FFF6E9E5"/>
      </patternFill>
    </fill>
  </fills>
  <borders count="3">
    <border/>
    <border>
      <left/>
      <right/>
      <top/>
      <bottom/>
    </border>
    <border>
      <left style="thin">
        <color rgb="FFD8D0BE"/>
      </left>
      <right style="thin">
        <color rgb="FFD8D0BE"/>
      </right>
      <top style="thin">
        <color rgb="FFD8D0BE"/>
      </top>
      <bottom style="thin">
        <color rgb="FFD8D0BE"/>
      </bottom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2" fillId="3" borderId="1" pivotButton="0" quotePrefix="0" xfId="0"/>
    <xf numFmtId="0" fontId="3" fillId="0" borderId="2" applyAlignment="1" pivotButton="0" quotePrefix="0" xfId="0">
      <alignment vertical="top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/>
    </xf>
    <xf numFmtId="0" fontId="3" fillId="3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/>
    </xf>
    <xf numFmtId="0" fontId="3" fillId="4" borderId="2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None</author>
  </authors>
  <commentList>
    <comment ref="E1" authorId="0" shapeId="0">
      <text>
        <t>======
ID#AAACApdkRSM
Claude    (2026-09-19 13:18:53)
計算「職業對照」中對應到這個名稱的等級資料筆數；「等級修正」的建議尚未計入。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4" min="1" max="1"/>
    <col width="95" customWidth="1" style="14" min="2" max="2"/>
    <col width="8.710000000000001" customWidth="1" style="14" min="3" max="26"/>
  </cols>
  <sheetData>
    <row r="1">
      <c r="A1" s="1" t="inlineStr">
        <is>
          <t>法術書：職業與學派整理</t>
        </is>
      </c>
    </row>
    <row r="2">
      <c r="A2" s="2" t="n"/>
      <c r="B2" s="3" t="n"/>
    </row>
    <row r="3">
      <c r="A3" s="2" t="inlineStr">
        <is>
          <t>這份活頁簿做什麼</t>
        </is>
      </c>
      <c r="B3" s="3" t="inlineStr">
        <is>
          <t>把資料裡 207 種職業寫法、16 筆有問題的等級資料、34 筆有疑義的學派，整理成之後要建立的「標準職業表」與學派對照。</t>
        </is>
      </c>
    </row>
    <row r="4">
      <c r="A4" s="2" t="inlineStr">
        <is>
          <t>你要做的事</t>
        </is>
      </c>
      <c r="B4" s="3" t="inlineStr">
        <is>
          <t>只需要修改黃色欄位。每一列都已經填好我的建議；同意就不用動，不同意就直接改。有疑問寫在「你的備註」。</t>
        </is>
      </c>
    </row>
    <row r="5">
      <c r="A5" s="5" t="inlineStr">
        <is>
          <t>黃色欄位</t>
        </is>
      </c>
      <c r="B5" s="3" t="inlineStr">
        <is>
          <t>可以修改的欄位。其他欄位是從資料庫整理出來的參考資訊，請不要改。</t>
        </is>
      </c>
    </row>
    <row r="6">
      <c r="A6" s="2" t="inlineStr">
        <is>
          <t>多個名稱</t>
        </is>
      </c>
      <c r="B6" s="3" t="inlineStr">
        <is>
          <t>一個寫法對應多個標準名稱時，用全形分號「；」分隔，例如「術士；法師」。</t>
        </is>
      </c>
    </row>
    <row r="7">
      <c r="A7" s="2" t="n"/>
      <c r="B7" s="3" t="n"/>
    </row>
    <row r="8">
      <c r="A8" s="7" t="inlineStr">
        <is>
          <t>工作表</t>
        </is>
      </c>
      <c r="B8" s="3" t="n"/>
    </row>
    <row r="9">
      <c r="A9" s="2" t="inlineStr">
        <is>
          <t>職業對照</t>
        </is>
      </c>
      <c r="B9" s="3" t="inlineStr">
        <is>
          <t>資料裡每一種職業寫法（共 207 種）。「類別」填：職業、領域、其他、等級修正、刪除。「標準名稱」填它對應到標準職業表裡的哪個名稱。</t>
        </is>
      </c>
    </row>
    <row r="10">
      <c r="A10" s="2" t="inlineStr">
        <is>
          <t>等級修正</t>
        </is>
      </c>
      <c r="B10" s="3" t="inlineStr">
        <is>
          <t>職業與等級黏在一起、或混入其他書版本的 15 個法術。「建議正確等級」會取代這個法術目前全部的等級資料，格式：職業 等級；職業 等級。</t>
        </is>
      </c>
    </row>
    <row r="11">
      <c r="A11" s="2" t="inlineStr">
        <is>
          <t>學派疑義</t>
        </is>
      </c>
      <c r="B11" s="3" t="inlineStr">
        <is>
          <t>自動規則分不出來、跨學派、或疑似誤譯的法術。其餘法術會依規則自動歸類，不在這張表裡。「建議學派」可填多個，用「；」分隔。</t>
        </is>
      </c>
    </row>
    <row r="12">
      <c r="A12" s="2" t="inlineStr">
        <is>
          <t>標準職業表</t>
        </is>
      </c>
      <c r="B12" s="3" t="inlineStr">
        <is>
          <t>整理後的最終清單，也就是之後 app 裡要建立的那張表。新增標準名稱時在這裡加一列；「對應寫法數」與「等級資料筆數」會自動計算。</t>
        </is>
      </c>
    </row>
    <row r="13">
      <c r="A13" s="2" t="n"/>
      <c r="B13" s="3" t="n"/>
    </row>
    <row r="14">
      <c r="A14" s="2" t="inlineStr">
        <is>
          <t>範例</t>
        </is>
      </c>
      <c r="B14" s="3" t="inlineStr">
        <is>
          <t>職業對照中「德魯依」這一列：類別＝領域 → 改成「職業」；標準名稱＝「德魯伊」。代表「德魯依」是「德魯伊」的另一種寫法。</t>
        </is>
      </c>
    </row>
    <row r="15">
      <c r="A15" s="2" t="n"/>
      <c r="B15" s="3" t="n"/>
    </row>
    <row r="16">
      <c r="A16" s="2" t="inlineStr">
        <is>
          <t>標示「待確認」</t>
        </is>
      </c>
      <c r="B16" s="3" t="inlineStr">
        <is>
          <t>是我不確定的歸類（例如巫覡、修驗者的英文對應，或兩個領域是否相同），特別需要你看一下。</t>
        </is>
      </c>
    </row>
    <row r="17">
      <c r="A17" s="2" t="inlineStr">
        <is>
          <t>學派自動歸類結果</t>
        </is>
      </c>
      <c r="B17" s="3" t="inlineStr">
        <is>
          <t>以下學派由規則自動判定，不需要檢查：變化 647 筆、咒法 370 筆、塑能 327 筆、防護 277 筆、死靈 233 筆、惑控 167 筆、預言 164 筆、幻術 125 筆、通用 16 筆</t>
        </is>
      </c>
    </row>
    <row r="21" ht="15.75" customHeight="1" s="14"/>
    <row r="22" ht="15.75" customHeight="1" s="14"/>
    <row r="23" ht="15.75" customHeight="1" s="14"/>
    <row r="24" ht="15.75" customHeight="1" s="14"/>
    <row r="25" ht="15.75" customHeight="1" s="14"/>
    <row r="26" ht="15.75" customHeight="1" s="14"/>
    <row r="27" ht="15.75" customHeight="1" s="14"/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" customWidth="1" style="14" min="1" max="1"/>
    <col width="30" customWidth="1" style="14" min="2" max="2"/>
    <col width="12" customWidth="1" style="14" min="3" max="3"/>
    <col width="20" customWidth="1" style="14" min="4" max="4"/>
    <col width="26" customWidth="1" style="14" min="5" max="5"/>
    <col width="11" customWidth="1" style="14" min="6" max="6"/>
    <col width="22" customWidth="1" style="14" min="7" max="7"/>
    <col width="46" customWidth="1" style="14" min="8" max="8"/>
    <col width="26" customWidth="1" style="14" min="9" max="9"/>
    <col width="8.710000000000001" customWidth="1" style="14" min="10" max="26"/>
  </cols>
  <sheetData>
    <row r="1" ht="30" customHeight="1" s="14">
      <c r="A1" s="4" t="inlineStr">
        <is>
          <t>編號</t>
        </is>
      </c>
      <c r="B1" s="4" t="inlineStr">
        <is>
          <t>原始寫法</t>
        </is>
      </c>
      <c r="C1" s="4" t="inlineStr">
        <is>
          <t>等級資料筆數</t>
        </is>
      </c>
      <c r="D1" s="4" t="inlineStr">
        <is>
          <t>出現的等級</t>
        </is>
      </c>
      <c r="E1" s="4" t="inlineStr">
        <is>
          <t>例子</t>
        </is>
      </c>
      <c r="F1" s="4" t="inlineStr">
        <is>
          <t>類別</t>
        </is>
      </c>
      <c r="G1" s="4" t="inlineStr">
        <is>
          <t>標準名稱</t>
        </is>
      </c>
      <c r="H1" s="4" t="inlineStr">
        <is>
          <t>建議說明</t>
        </is>
      </c>
      <c r="I1" s="4" t="inlineStr">
        <is>
          <t>你的備註</t>
        </is>
      </c>
    </row>
    <row r="2">
      <c r="A2" s="6" t="n">
        <v>1</v>
      </c>
      <c r="B2" s="8" t="inlineStr">
        <is>
          <t>術士/法師</t>
        </is>
      </c>
      <c r="C2" s="6" t="n">
        <v>1191</v>
      </c>
      <c r="D2" s="6" t="inlineStr">
        <is>
          <t>0,1,2,3,4,5,6,7,8,9</t>
        </is>
      </c>
      <c r="E2" s="8" t="inlineStr">
        <is>
          <t>底棲魔魚詛咒、法力吸收</t>
        </is>
      </c>
      <c r="F2" s="10" t="inlineStr">
        <is>
          <t>職業</t>
        </is>
      </c>
      <c r="G2" s="10" t="inlineStr">
        <is>
          <t>術士；法師</t>
        </is>
      </c>
      <c r="H2" s="8" t="inlineStr">
        <is>
          <t>拆成術士與法師兩個職業</t>
        </is>
      </c>
      <c r="I2" s="11" t="n"/>
    </row>
    <row r="3">
      <c r="A3" s="6" t="n">
        <v>3</v>
      </c>
      <c r="B3" s="8" t="inlineStr">
        <is>
          <t>牧師</t>
        </is>
      </c>
      <c r="C3" s="6" t="n">
        <v>713</v>
      </c>
      <c r="D3" s="6" t="inlineStr">
        <is>
          <t>0,1,2,3,4,5,6,7,8,9</t>
        </is>
      </c>
      <c r="E3" s="8" t="inlineStr">
        <is>
          <t>深淵軍團、由畏生敬</t>
        </is>
      </c>
      <c r="F3" s="10" t="inlineStr">
        <is>
          <t>職業</t>
        </is>
      </c>
      <c r="G3" s="10" t="inlineStr">
        <is>
          <t>牧師</t>
        </is>
      </c>
      <c r="H3" s="8" t="n"/>
      <c r="I3" s="11" t="n"/>
    </row>
    <row r="4">
      <c r="A4" s="6" t="n">
        <v>16</v>
      </c>
      <c r="B4" s="8" t="inlineStr">
        <is>
          <t>德魯伊</t>
        </is>
      </c>
      <c r="C4" s="6" t="n">
        <v>510</v>
      </c>
      <c r="D4" s="6" t="inlineStr">
        <is>
          <t>0,1,2,3,4,5,6,7,8,9</t>
        </is>
      </c>
      <c r="E4" s="8" t="inlineStr">
        <is>
          <t>空氣呼吸術、淩空而行</t>
        </is>
      </c>
      <c r="F4" s="10" t="inlineStr">
        <is>
          <t>職業</t>
        </is>
      </c>
      <c r="G4" s="10" t="inlineStr">
        <is>
          <t>德魯伊</t>
        </is>
      </c>
      <c r="H4" s="8" t="n"/>
      <c r="I4" s="11" t="n"/>
    </row>
    <row r="5">
      <c r="A5" s="6" t="n">
        <v>4</v>
      </c>
      <c r="B5" s="8" t="inlineStr">
        <is>
          <t>吟游詩人</t>
        </is>
      </c>
      <c r="C5" s="6" t="n">
        <v>372</v>
      </c>
      <c r="D5" s="6" t="inlineStr">
        <is>
          <t>0,1,2,3,4,5,6</t>
        </is>
      </c>
      <c r="E5" s="8" t="inlineStr">
        <is>
          <t>加速運動、由畏生敬</t>
        </is>
      </c>
      <c r="F5" s="10" t="inlineStr">
        <is>
          <t>職業</t>
        </is>
      </c>
      <c r="G5" s="10" t="inlineStr">
        <is>
          <t>吟遊詩人</t>
        </is>
      </c>
      <c r="H5" s="8" t="n"/>
      <c r="I5" s="11" t="n"/>
    </row>
    <row r="6">
      <c r="A6" s="6" t="n">
        <v>20</v>
      </c>
      <c r="B6" s="8" t="inlineStr">
        <is>
          <t>聖武士</t>
        </is>
      </c>
      <c r="C6" s="6" t="n">
        <v>146</v>
      </c>
      <c r="D6" s="6" t="inlineStr">
        <is>
          <t>1,2,3,4</t>
        </is>
      </c>
      <c r="E6" s="8" t="inlineStr">
        <is>
          <t>陣營靈光、天使之鎧</t>
        </is>
      </c>
      <c r="F6" s="10" t="inlineStr">
        <is>
          <t>職業</t>
        </is>
      </c>
      <c r="G6" s="10" t="inlineStr">
        <is>
          <t>聖武士</t>
        </is>
      </c>
      <c r="H6" s="8" t="n"/>
      <c r="I6" s="11" t="n"/>
    </row>
    <row r="7">
      <c r="A7" s="6" t="n">
        <v>10</v>
      </c>
      <c r="B7" s="8" t="inlineStr">
        <is>
          <t>巡林客</t>
        </is>
      </c>
      <c r="C7" s="6" t="n">
        <v>119</v>
      </c>
      <c r="D7" s="6" t="inlineStr">
        <is>
          <t>1,2,3,4</t>
        </is>
      </c>
      <c r="E7" s="8" t="inlineStr">
        <is>
          <t>空中警報、魔法警報</t>
        </is>
      </c>
      <c r="F7" s="10" t="inlineStr">
        <is>
          <t>職業</t>
        </is>
      </c>
      <c r="G7" s="10" t="inlineStr">
        <is>
          <t>遊俠</t>
        </is>
      </c>
      <c r="H7" s="8" t="n"/>
      <c r="I7" s="11" t="n"/>
    </row>
    <row r="8">
      <c r="A8" s="6" t="n">
        <v>7</v>
      </c>
      <c r="B8" s="8" t="inlineStr">
        <is>
          <t>巫覡</t>
        </is>
      </c>
      <c r="C8" s="6" t="n">
        <v>97</v>
      </c>
      <c r="D8" s="6" t="inlineStr">
        <is>
          <t>1,2,3,4,5,6,7,8,9</t>
        </is>
      </c>
      <c r="E8" s="8" t="inlineStr">
        <is>
          <t>精准術、精金之翼</t>
        </is>
      </c>
      <c r="F8" s="10" t="inlineStr">
        <is>
          <t>職業</t>
        </is>
      </c>
      <c r="G8" s="10" t="inlineStr">
        <is>
          <t>巫覡</t>
        </is>
      </c>
      <c r="H8" s="8" t="n"/>
      <c r="I8" s="11" t="n"/>
    </row>
    <row r="9">
      <c r="A9" s="6" t="n">
        <v>12</v>
      </c>
      <c r="B9" s="8" t="inlineStr">
        <is>
          <t>德魯依</t>
        </is>
      </c>
      <c r="C9" s="6" t="n">
        <v>80</v>
      </c>
      <c r="D9" s="6" t="inlineStr">
        <is>
          <t>1,2,3,4,5,6,7,8,9</t>
        </is>
      </c>
      <c r="E9" s="8" t="inlineStr">
        <is>
          <t>授予苦痛、修改機運</t>
        </is>
      </c>
      <c r="F9" s="10" t="inlineStr">
        <is>
          <t>職業</t>
        </is>
      </c>
      <c r="G9" s="10" t="inlineStr">
        <is>
          <t>德魯伊</t>
        </is>
      </c>
      <c r="H9" s="8" t="n"/>
      <c r="I9" s="11" t="n"/>
    </row>
    <row r="10">
      <c r="A10" s="6" t="n">
        <v>5</v>
      </c>
      <c r="B10" s="8" t="inlineStr">
        <is>
          <t>遊俠</t>
        </is>
      </c>
      <c r="C10" s="6" t="n">
        <v>66</v>
      </c>
      <c r="D10" s="6" t="inlineStr">
        <is>
          <t>1,2,3,4</t>
        </is>
      </c>
      <c r="E10" s="8" t="inlineStr">
        <is>
          <t>加速運動、陣營之牙</t>
        </is>
      </c>
      <c r="F10" s="10" t="inlineStr">
        <is>
          <t>職業</t>
        </is>
      </c>
      <c r="G10" s="10" t="inlineStr">
        <is>
          <t>遊俠</t>
        </is>
      </c>
      <c r="H10" s="8" t="n"/>
      <c r="I10" s="11" t="n"/>
    </row>
    <row r="11">
      <c r="A11" s="6" t="n">
        <v>2</v>
      </c>
      <c r="B11" s="8" t="inlineStr">
        <is>
          <t>刺客</t>
        </is>
      </c>
      <c r="C11" s="6" t="n">
        <v>64</v>
      </c>
      <c r="D11" s="6" t="inlineStr">
        <is>
          <t>1,2,3,4</t>
        </is>
      </c>
      <c r="E11" s="8" t="inlineStr">
        <is>
          <t>武器吸收、不定型體</t>
        </is>
      </c>
      <c r="F11" s="10" t="inlineStr">
        <is>
          <t>職業</t>
        </is>
      </c>
      <c r="G11" s="10" t="inlineStr">
        <is>
          <t>刺客</t>
        </is>
      </c>
      <c r="H11" s="8" t="n"/>
      <c r="I11" s="11" t="n"/>
    </row>
    <row r="12">
      <c r="A12" s="6" t="n">
        <v>33</v>
      </c>
      <c r="B12" s="8" t="inlineStr">
        <is>
          <t>法師/術士</t>
        </is>
      </c>
      <c r="C12" s="6" t="n">
        <v>53</v>
      </c>
      <c r="D12" s="6" t="inlineStr">
        <is>
          <t>1,2,3,4,5,6,7,9</t>
        </is>
      </c>
      <c r="E12" s="8" t="inlineStr">
        <is>
          <t>極地迷霧、血刃術</t>
        </is>
      </c>
      <c r="F12" s="10" t="inlineStr">
        <is>
          <t>職業</t>
        </is>
      </c>
      <c r="G12" s="10" t="inlineStr">
        <is>
          <t>術士；法師</t>
        </is>
      </c>
      <c r="H12" s="8" t="inlineStr">
        <is>
          <t>拆成術士與法師兩個職業</t>
        </is>
      </c>
      <c r="I12" s="11" t="n"/>
    </row>
    <row r="13">
      <c r="A13" s="6" t="n">
        <v>95</v>
      </c>
      <c r="B13" s="8" t="inlineStr">
        <is>
          <t>詩人</t>
        </is>
      </c>
      <c r="C13" s="6" t="n">
        <v>31</v>
      </c>
      <c r="D13" s="6" t="inlineStr">
        <is>
          <t>0,1,2,3,4,5,6</t>
        </is>
      </c>
      <c r="E13" s="8" t="inlineStr">
        <is>
          <t>信任危機、自大狂</t>
        </is>
      </c>
      <c r="F13" s="10" t="inlineStr">
        <is>
          <t>職業</t>
        </is>
      </c>
      <c r="G13" s="10" t="inlineStr">
        <is>
          <t>吟遊詩人</t>
        </is>
      </c>
      <c r="H13" s="8" t="n"/>
      <c r="I13" s="11" t="n"/>
    </row>
    <row r="14">
      <c r="A14" s="6" t="n">
        <v>34</v>
      </c>
      <c r="B14" s="8" t="inlineStr">
        <is>
          <t>聖潔</t>
        </is>
      </c>
      <c r="C14" s="6" t="n">
        <v>29</v>
      </c>
      <c r="D14" s="6" t="inlineStr">
        <is>
          <t>1,2,3,4,5,6,7,8,9</t>
        </is>
      </c>
      <c r="E14" s="8" t="inlineStr">
        <is>
          <t>終焉聖戰、厄亞艾拉的光輝炸裂</t>
        </is>
      </c>
      <c r="F14" s="10" t="inlineStr">
        <is>
          <t>其他</t>
        </is>
      </c>
      <c r="G14" s="10" t="inlineStr">
        <is>
          <t>聖潔</t>
        </is>
      </c>
      <c r="H14" s="8" t="inlineStr">
        <is>
          <t>《崇善之書》的聖潔法術類別，不是職業</t>
        </is>
      </c>
      <c r="I14" s="11" t="inlineStr">
        <is>
          <t>這種奇怪的職業都丟到其他</t>
        </is>
      </c>
    </row>
    <row r="15">
      <c r="A15" s="6" t="n">
        <v>6</v>
      </c>
      <c r="B15" s="8" t="inlineStr">
        <is>
          <t>戰法師</t>
        </is>
      </c>
      <c r="C15" s="6" t="n">
        <v>23</v>
      </c>
      <c r="D15" s="6" t="inlineStr">
        <is>
          <t>1,2,4,5</t>
        </is>
      </c>
      <c r="E15" s="8" t="inlineStr">
        <is>
          <t>精准術、電弧術</t>
        </is>
      </c>
      <c r="F15" s="10" t="inlineStr">
        <is>
          <t>職業</t>
        </is>
      </c>
      <c r="G15" s="10" t="inlineStr">
        <is>
          <t>戰法師</t>
        </is>
      </c>
      <c r="H15" s="8" t="n"/>
      <c r="I15" s="11" t="n"/>
    </row>
    <row r="16">
      <c r="A16" s="6" t="n">
        <v>36</v>
      </c>
      <c r="B16" s="8" t="inlineStr">
        <is>
          <t>和平使者</t>
        </is>
      </c>
      <c r="C16" s="6" t="n">
        <v>22</v>
      </c>
      <c r="D16" s="6" t="inlineStr">
        <is>
          <t>1,2,3,4,5,6,7,9</t>
        </is>
      </c>
      <c r="E16" s="8" t="inlineStr">
        <is>
          <t>神性型貌、高等神性型貌</t>
        </is>
      </c>
      <c r="F16" s="10" t="inlineStr">
        <is>
          <t>職業</t>
        </is>
      </c>
      <c r="G16" s="10" t="inlineStr">
        <is>
          <t>和平使者</t>
        </is>
      </c>
      <c r="H16" s="8" t="n"/>
      <c r="I16" s="11" t="n"/>
    </row>
    <row r="17">
      <c r="A17" s="6" t="n">
        <v>180</v>
      </c>
      <c r="B17" s="8" t="inlineStr">
        <is>
          <t>法師/巫師</t>
        </is>
      </c>
      <c r="C17" s="6" t="n">
        <v>22</v>
      </c>
      <c r="D17" s="6" t="inlineStr">
        <is>
          <t>1,2,3,4,5,8,9</t>
        </is>
      </c>
      <c r="E17" s="8" t="inlineStr">
        <is>
          <t>陰影面具、陰影輝光</t>
        </is>
      </c>
      <c r="F17" s="10" t="inlineStr">
        <is>
          <t>職業</t>
        </is>
      </c>
      <c r="G17" s="10" t="inlineStr">
        <is>
          <t>術士；法師</t>
        </is>
      </c>
      <c r="H17" s="8" t="inlineStr">
        <is>
          <t>拆成術士與法師兩個職業</t>
        </is>
      </c>
      <c r="I17" s="11" t="n"/>
    </row>
    <row r="18">
      <c r="A18" s="6" t="n">
        <v>47</v>
      </c>
      <c r="B18" s="8" t="inlineStr">
        <is>
          <t>暮刃</t>
        </is>
      </c>
      <c r="C18" s="6" t="n">
        <v>21</v>
      </c>
      <c r="D18" s="6" t="inlineStr">
        <is>
          <t>1,2,3,4,5</t>
        </is>
      </c>
      <c r="E18" s="8" t="inlineStr">
        <is>
          <t>畢格比強襲拳、畢格比跌拌掌</t>
        </is>
      </c>
      <c r="F18" s="10" t="inlineStr">
        <is>
          <t>職業</t>
        </is>
      </c>
      <c r="G18" s="10" t="inlineStr">
        <is>
          <t>暮刃</t>
        </is>
      </c>
      <c r="H18" s="8" t="n"/>
      <c r="I18" s="11" t="n"/>
    </row>
    <row r="19">
      <c r="A19" s="6" t="n">
        <v>19</v>
      </c>
      <c r="B19" s="8" t="inlineStr">
        <is>
          <t>暗黑衛士</t>
        </is>
      </c>
      <c r="C19" s="6" t="n">
        <v>19</v>
      </c>
      <c r="D19" s="6" t="inlineStr">
        <is>
          <t>1,2,3,4</t>
        </is>
      </c>
      <c r="E19" s="8" t="inlineStr">
        <is>
          <t>陣營靈光、血刃術</t>
        </is>
      </c>
      <c r="F19" s="10" t="inlineStr">
        <is>
          <t>職業</t>
        </is>
      </c>
      <c r="G19" s="10" t="inlineStr">
        <is>
          <t>暗黑衛士</t>
        </is>
      </c>
      <c r="H19" s="8" t="n"/>
      <c r="I19" s="11" t="n"/>
    </row>
    <row r="20">
      <c r="A20" s="6" t="n">
        <v>64</v>
      </c>
      <c r="B20" s="8" t="inlineStr">
        <is>
          <t>欺瞞者</t>
        </is>
      </c>
      <c r="C20" s="6" t="n">
        <v>19</v>
      </c>
      <c r="D20" s="6" t="inlineStr">
        <is>
          <t>1,2,3,4,5,6</t>
        </is>
      </c>
      <c r="E20" s="8" t="inlineStr">
        <is>
          <t>奪目華彩、帷幕冠冕</t>
        </is>
      </c>
      <c r="F20" s="10" t="inlineStr">
        <is>
          <t>職業</t>
        </is>
      </c>
      <c r="G20" s="10" t="inlineStr">
        <is>
          <t>欺瞞者</t>
        </is>
      </c>
      <c r="H20" s="8" t="n"/>
      <c r="I20" s="11" t="n"/>
    </row>
    <row r="21" ht="15.75" customHeight="1" s="14">
      <c r="A21" s="6" t="n">
        <v>125</v>
      </c>
      <c r="B21" s="8" t="inlineStr">
        <is>
          <t>聖騎士</t>
        </is>
      </c>
      <c r="C21" s="6" t="n">
        <v>15</v>
      </c>
      <c r="D21" s="6" t="inlineStr">
        <is>
          <t>1,2,3</t>
        </is>
      </c>
      <c r="E21" s="8" t="inlineStr">
        <is>
          <t>神助之力、忠誠之手</t>
        </is>
      </c>
      <c r="F21" s="10" t="inlineStr">
        <is>
          <t>職業</t>
        </is>
      </c>
      <c r="G21" s="10" t="inlineStr">
        <is>
          <t>聖武士</t>
        </is>
      </c>
      <c r="H21" s="8" t="n"/>
      <c r="I21" s="11" t="n"/>
    </row>
    <row r="22" ht="15.75" customHeight="1" s="14">
      <c r="A22" s="6" t="n">
        <v>9</v>
      </c>
      <c r="B22" s="8" t="inlineStr">
        <is>
          <t>魔劍客</t>
        </is>
      </c>
      <c r="C22" s="6" t="n">
        <v>15</v>
      </c>
      <c r="D22" s="6" t="inlineStr">
        <is>
          <t>1,2,3,4</t>
        </is>
      </c>
      <c r="E22" s="8" t="inlineStr">
        <is>
          <t>由畏生敬、強化魔寵</t>
        </is>
      </c>
      <c r="F22" s="10" t="inlineStr">
        <is>
          <t>職業</t>
        </is>
      </c>
      <c r="G22" s="10" t="inlineStr">
        <is>
          <t>魔劍客</t>
        </is>
      </c>
      <c r="H22" s="8" t="n"/>
      <c r="I22" s="11" t="n"/>
    </row>
    <row r="23" ht="15.75" customHeight="1" s="14">
      <c r="A23" s="6" t="n">
        <v>32</v>
      </c>
      <c r="B23" s="8" t="inlineStr">
        <is>
          <t>術士</t>
        </is>
      </c>
      <c r="C23" s="6" t="n">
        <v>11</v>
      </c>
      <c r="D23" s="6" t="inlineStr">
        <is>
          <t>2,3,4,5,6,7,8</t>
        </is>
      </c>
      <c r="E23" s="8" t="inlineStr">
        <is>
          <t>奧術融合、高等奧術融合</t>
        </is>
      </c>
      <c r="F23" s="10" t="inlineStr">
        <is>
          <t>職業</t>
        </is>
      </c>
      <c r="G23" s="10" t="inlineStr">
        <is>
          <t>術士</t>
        </is>
      </c>
      <c r="H23" s="8" t="n"/>
      <c r="I23" s="11" t="n"/>
    </row>
    <row r="24" ht="15.75" customHeight="1" s="14">
      <c r="A24" s="6" t="n">
        <v>117</v>
      </c>
      <c r="B24" s="8" t="inlineStr">
        <is>
          <t>黑暗衛士</t>
        </is>
      </c>
      <c r="C24" s="6" t="n">
        <v>11</v>
      </c>
      <c r="D24" s="6" t="inlineStr">
        <is>
          <t>1,2,3,4</t>
        </is>
      </c>
      <c r="E24" s="8" t="inlineStr">
        <is>
          <t>吸血鬼王之牙、黃金護鎧</t>
        </is>
      </c>
      <c r="F24" s="10" t="inlineStr">
        <is>
          <t>職業</t>
        </is>
      </c>
      <c r="G24" s="10" t="inlineStr">
        <is>
          <t>暗黑衛士</t>
        </is>
      </c>
      <c r="H24" s="8" t="n"/>
      <c r="I24" s="11" t="n"/>
    </row>
    <row r="25" ht="15.75" customHeight="1" s="14">
      <c r="A25" s="6" t="n">
        <v>37</v>
      </c>
      <c r="B25" s="8" t="inlineStr">
        <is>
          <t>崇善秘法師</t>
        </is>
      </c>
      <c r="C25" s="6" t="n">
        <v>10</v>
      </c>
      <c r="D25" s="6" t="inlineStr">
        <is>
          <t>1,4,5,6,7,9</t>
        </is>
      </c>
      <c r="E25" s="8" t="inlineStr">
        <is>
          <t>神性型貌、高等神性型貌</t>
        </is>
      </c>
      <c r="F25" s="10" t="inlineStr">
        <is>
          <t>職業</t>
        </is>
      </c>
      <c r="G25" s="10" t="inlineStr">
        <is>
          <t>崇善秘法師</t>
        </is>
      </c>
      <c r="H25" s="8" t="n"/>
      <c r="I25" s="11" t="n"/>
    </row>
    <row r="26" ht="15.75" customHeight="1" s="14">
      <c r="A26" s="6" t="n">
        <v>114</v>
      </c>
      <c r="B26" s="8" t="inlineStr">
        <is>
          <t>太陽</t>
        </is>
      </c>
      <c r="C26" s="6" t="n">
        <v>9</v>
      </c>
      <c r="D26" s="6" t="inlineStr">
        <is>
          <t>1,2,3,4,5,6,7,8,9</t>
        </is>
      </c>
      <c r="E26" s="8" t="inlineStr">
        <is>
          <t>忍受環境、火種術</t>
        </is>
      </c>
      <c r="F26" s="10" t="inlineStr">
        <is>
          <t>領域</t>
        </is>
      </c>
      <c r="G26" s="10" t="inlineStr">
        <is>
          <t>太陽</t>
        </is>
      </c>
      <c r="H26" s="8" t="n"/>
      <c r="I26" s="11" t="n"/>
    </row>
    <row r="27" ht="15.75" customHeight="1" s="14">
      <c r="A27" s="6" t="n">
        <v>39</v>
      </c>
      <c r="B27" s="8" t="inlineStr">
        <is>
          <t>旅行</t>
        </is>
      </c>
      <c r="C27" s="6" t="n">
        <v>9</v>
      </c>
      <c r="D27" s="6" t="inlineStr">
        <is>
          <t>1,2,3,4,5,6,7,8,9</t>
        </is>
      </c>
      <c r="E27" s="8" t="inlineStr">
        <is>
          <t>星界投射、任意門</t>
        </is>
      </c>
      <c r="F27" s="10" t="inlineStr">
        <is>
          <t>領域</t>
        </is>
      </c>
      <c r="G27" s="10" t="inlineStr">
        <is>
          <t>旅行</t>
        </is>
      </c>
      <c r="H27" s="8" t="n"/>
      <c r="I27" s="11" t="n"/>
    </row>
    <row r="28" ht="15.75" customHeight="1" s="14">
      <c r="A28" s="6" t="n">
        <v>25</v>
      </c>
      <c r="B28" s="8" t="inlineStr">
        <is>
          <t>死亡</t>
        </is>
      </c>
      <c r="C28" s="6" t="n">
        <v>9</v>
      </c>
      <c r="D28" s="6" t="inlineStr">
        <is>
          <t>1,2,3,4,5,6,7,8,9</t>
        </is>
      </c>
      <c r="E28" s="8" t="inlineStr">
        <is>
          <t>操縱死屍、驚 恐 術</t>
        </is>
      </c>
      <c r="F28" s="10" t="inlineStr">
        <is>
          <t>領域</t>
        </is>
      </c>
      <c r="G28" s="10" t="inlineStr">
        <is>
          <t>死亡</t>
        </is>
      </c>
      <c r="H28" s="8" t="n"/>
      <c r="I28" s="11" t="n"/>
    </row>
    <row r="29" ht="15.75" customHeight="1" s="14">
      <c r="A29" s="6" t="n">
        <v>8</v>
      </c>
      <c r="B29" s="8" t="inlineStr">
        <is>
          <t>水</t>
        </is>
      </c>
      <c r="C29" s="6" t="n">
        <v>9</v>
      </c>
      <c r="D29" s="6" t="inlineStr">
        <is>
          <t>1,2,3,4,5,6,7,8,9</t>
        </is>
      </c>
      <c r="E29" s="8" t="inlineStr">
        <is>
          <t>酸 霧 術、寒冰錐</t>
        </is>
      </c>
      <c r="F29" s="10" t="inlineStr">
        <is>
          <t>領域</t>
        </is>
      </c>
      <c r="G29" s="10" t="inlineStr">
        <is>
          <t>水</t>
        </is>
      </c>
      <c r="H29" s="8" t="n"/>
      <c r="I29" s="11" t="n"/>
    </row>
    <row r="30" ht="15.75" customHeight="1" s="14">
      <c r="A30" s="6" t="n">
        <v>76</v>
      </c>
      <c r="B30" s="8" t="inlineStr">
        <is>
          <t>火</t>
        </is>
      </c>
      <c r="C30" s="6" t="n">
        <v>9</v>
      </c>
      <c r="D30" s="6" t="inlineStr">
        <is>
          <t>1,2,3,4,5,6,7,8,9</t>
        </is>
      </c>
      <c r="E30" s="8" t="inlineStr">
        <is>
          <t>燃燒之手、元素集群</t>
        </is>
      </c>
      <c r="F30" s="10" t="inlineStr">
        <is>
          <t>領域</t>
        </is>
      </c>
      <c r="G30" s="10" t="inlineStr">
        <is>
          <t>火</t>
        </is>
      </c>
      <c r="H30" s="8" t="n"/>
      <c r="I30" s="11" t="n"/>
    </row>
    <row r="31" ht="15.75" customHeight="1" s="14">
      <c r="A31" s="6" t="n">
        <v>85</v>
      </c>
      <c r="B31" s="8" t="inlineStr">
        <is>
          <t>知識</t>
        </is>
      </c>
      <c r="C31" s="6" t="n">
        <v>9</v>
      </c>
      <c r="D31" s="6" t="inlineStr">
        <is>
          <t>1,2,3,4,5,6,7,8,9</t>
        </is>
      </c>
      <c r="E31" s="8" t="inlineStr">
        <is>
          <t>銳耳術/鷹眼術、偵測密門</t>
        </is>
      </c>
      <c r="F31" s="10" t="inlineStr">
        <is>
          <t>領域</t>
        </is>
      </c>
      <c r="G31" s="10" t="inlineStr">
        <is>
          <t>知識</t>
        </is>
      </c>
      <c r="H31" s="8" t="n"/>
      <c r="I31" s="11" t="n"/>
    </row>
    <row r="32" ht="15.75" customHeight="1" s="14">
      <c r="A32" s="6" t="n">
        <v>28</v>
      </c>
      <c r="B32" s="8" t="inlineStr">
        <is>
          <t>魔劍士</t>
        </is>
      </c>
      <c r="C32" s="6" t="n">
        <v>9</v>
      </c>
      <c r="D32" s="6" t="inlineStr">
        <is>
          <t>1,2,3,4</t>
        </is>
      </c>
      <c r="E32" s="8" t="inlineStr">
        <is>
          <t>活化武器、奧術波動</t>
        </is>
      </c>
      <c r="F32" s="10" t="inlineStr">
        <is>
          <t>職業</t>
        </is>
      </c>
      <c r="G32" s="10" t="inlineStr">
        <is>
          <t>魔劍客</t>
        </is>
      </c>
      <c r="H32" s="8" t="inlineStr">
        <is>
          <t>合併到魔劍客</t>
        </is>
      </c>
      <c r="I32" s="11" t="n"/>
    </row>
    <row r="33" ht="15.75" customHeight="1" s="14">
      <c r="A33" s="6" t="n">
        <v>30</v>
      </c>
      <c r="B33" s="8" t="inlineStr">
        <is>
          <t>保護</t>
        </is>
      </c>
      <c r="C33" s="6" t="n">
        <v>8</v>
      </c>
      <c r="D33" s="6" t="inlineStr">
        <is>
          <t>1,2,4,5,6,7,8,9</t>
        </is>
      </c>
      <c r="E33" s="8" t="inlineStr">
        <is>
          <t>反魔場、心靈屏障</t>
        </is>
      </c>
      <c r="F33" s="10" t="inlineStr">
        <is>
          <t>領域</t>
        </is>
      </c>
      <c r="G33" s="10" t="inlineStr">
        <is>
          <t>保護</t>
        </is>
      </c>
      <c r="H33" s="8" t="n"/>
      <c r="I33" s="11" t="n"/>
    </row>
    <row r="34" ht="15.75" customHeight="1" s="14">
      <c r="A34" s="6" t="n">
        <v>111</v>
      </c>
      <c r="B34" s="8" t="inlineStr">
        <is>
          <t>土</t>
        </is>
      </c>
      <c r="C34" s="6" t="n">
        <v>8</v>
      </c>
      <c r="D34" s="6" t="inlineStr">
        <is>
          <t>2,3,4,5,6,7,8,9</t>
        </is>
      </c>
      <c r="E34" s="8" t="inlineStr">
        <is>
          <t>地震術、元素集群</t>
        </is>
      </c>
      <c r="F34" s="10" t="inlineStr">
        <is>
          <t>領域</t>
        </is>
      </c>
      <c r="G34" s="10" t="inlineStr">
        <is>
          <t>土</t>
        </is>
      </c>
      <c r="H34" s="8" t="n"/>
      <c r="I34" s="11" t="n"/>
    </row>
    <row r="35" ht="15.75" customHeight="1" s="14">
      <c r="A35" s="6" t="n">
        <v>24</v>
      </c>
      <c r="B35" s="8" t="inlineStr">
        <is>
          <t>城市</t>
        </is>
      </c>
      <c r="C35" s="6" t="n">
        <v>8</v>
      </c>
      <c r="D35" s="6" t="inlineStr">
        <is>
          <t>2,3,4,5,6,7,8,9</t>
        </is>
      </c>
      <c r="E35" s="8" t="inlineStr">
        <is>
          <t>活化城市、城樓之光</t>
        </is>
      </c>
      <c r="F35" s="10" t="inlineStr">
        <is>
          <t>領域</t>
        </is>
      </c>
      <c r="G35" s="10" t="inlineStr">
        <is>
          <t>城市</t>
        </is>
      </c>
      <c r="H35" s="8" t="n"/>
      <c r="I35" s="11" t="n"/>
    </row>
    <row r="36" ht="15.75" customHeight="1" s="14">
      <c r="A36" s="6" t="n">
        <v>27</v>
      </c>
      <c r="B36" s="8" t="inlineStr">
        <is>
          <t>植物</t>
        </is>
      </c>
      <c r="C36" s="6" t="n">
        <v>8</v>
      </c>
      <c r="D36" s="6" t="inlineStr">
        <is>
          <t>1,2,4,5,6,7,8,9</t>
        </is>
      </c>
      <c r="E36" s="8" t="inlineStr">
        <is>
          <t>活化植物、樹膚術</t>
        </is>
      </c>
      <c r="F36" s="10" t="inlineStr">
        <is>
          <t>領域</t>
        </is>
      </c>
      <c r="G36" s="10" t="inlineStr">
        <is>
          <t>植物</t>
        </is>
      </c>
      <c r="H36" s="8" t="n"/>
      <c r="I36" s="11" t="n"/>
    </row>
    <row r="37" ht="15.75" customHeight="1" s="14">
      <c r="A37" s="6" t="n">
        <v>65</v>
      </c>
      <c r="B37" s="8" t="inlineStr">
        <is>
          <t>榮耀</t>
        </is>
      </c>
      <c r="C37" s="6" t="n">
        <v>8</v>
      </c>
      <c r="D37" s="6" t="inlineStr">
        <is>
          <t>2,4,5,6,8,9</t>
        </is>
      </c>
      <c r="E37" s="8" t="inlineStr">
        <is>
          <t>光彩奪目的榮光、榮耀之矢</t>
        </is>
      </c>
      <c r="F37" s="10" t="inlineStr">
        <is>
          <t>領域</t>
        </is>
      </c>
      <c r="G37" s="10" t="inlineStr">
        <is>
          <t>榮耀</t>
        </is>
      </c>
      <c r="H37" s="8" t="n"/>
      <c r="I37" s="11" t="n"/>
    </row>
    <row r="38" ht="15.75" customHeight="1" s="14">
      <c r="A38" s="6" t="n">
        <v>15</v>
      </c>
      <c r="B38" s="8" t="inlineStr">
        <is>
          <t>機運</t>
        </is>
      </c>
      <c r="C38" s="6" t="n">
        <v>8</v>
      </c>
      <c r="D38" s="6" t="inlineStr">
        <is>
          <t>1,2,4,5,6,7,8,9</t>
        </is>
      </c>
      <c r="E38" s="8" t="inlineStr">
        <is>
          <t>援助術、破除結界</t>
        </is>
      </c>
      <c r="F38" s="10" t="inlineStr">
        <is>
          <t>領域</t>
        </is>
      </c>
      <c r="G38" s="10" t="inlineStr">
        <is>
          <t>機運</t>
        </is>
      </c>
      <c r="H38" s="8" t="n"/>
      <c r="I38" s="11" t="n"/>
    </row>
    <row r="39" ht="15.75" customHeight="1" s="14">
      <c r="A39" s="6" t="n">
        <v>17</v>
      </c>
      <c r="B39" s="8" t="inlineStr">
        <is>
          <t>氣</t>
        </is>
      </c>
      <c r="C39" s="6" t="n">
        <v>8</v>
      </c>
      <c r="D39" s="6" t="inlineStr">
        <is>
          <t>2,3,4,5,6,7,8,9</t>
        </is>
      </c>
      <c r="E39" s="8" t="inlineStr">
        <is>
          <t>淩空而行、連環閃電</t>
        </is>
      </c>
      <c r="F39" s="10" t="inlineStr">
        <is>
          <t>領域</t>
        </is>
      </c>
      <c r="G39" s="10" t="inlineStr">
        <is>
          <t>氣</t>
        </is>
      </c>
      <c r="H39" s="8" t="n"/>
      <c r="I39" s="11" t="n"/>
    </row>
    <row r="40" ht="15.75" customHeight="1" s="14">
      <c r="A40" s="6" t="n">
        <v>26</v>
      </c>
      <c r="B40" s="8" t="inlineStr">
        <is>
          <t>混亂</t>
        </is>
      </c>
      <c r="C40" s="6" t="n">
        <v>8</v>
      </c>
      <c r="D40" s="6" t="inlineStr">
        <is>
          <t>1,2,3,4,5,6,7,8</t>
        </is>
      </c>
      <c r="E40" s="8" t="inlineStr">
        <is>
          <t>活化物品、混亂之錘</t>
        </is>
      </c>
      <c r="F40" s="10" t="inlineStr">
        <is>
          <t>領域</t>
        </is>
      </c>
      <c r="G40" s="10" t="inlineStr">
        <is>
          <t>混亂</t>
        </is>
      </c>
      <c r="H40" s="8" t="inlineStr">
        <is>
          <t>合併了混沌</t>
        </is>
      </c>
      <c r="I40" s="11" t="n"/>
    </row>
    <row r="41" ht="15.75" customHeight="1" s="14">
      <c r="A41" s="6" t="n">
        <v>55</v>
      </c>
      <c r="B41" s="8" t="inlineStr">
        <is>
          <t>邪惡</t>
        </is>
      </c>
      <c r="C41" s="6" t="n">
        <v>8</v>
      </c>
      <c r="D41" s="6" t="inlineStr">
        <is>
          <t>1,2,3,4,5,6,7,8</t>
        </is>
      </c>
      <c r="E41" s="8" t="inlineStr">
        <is>
          <t>瀆神之語、喚起死靈</t>
        </is>
      </c>
      <c r="F41" s="10" t="inlineStr">
        <is>
          <t>領域</t>
        </is>
      </c>
      <c r="G41" s="10" t="inlineStr">
        <is>
          <t>邪惡</t>
        </is>
      </c>
      <c r="H41" s="8" t="n"/>
      <c r="I41" s="11" t="n"/>
    </row>
    <row r="42" ht="15.75" customHeight="1" s="14">
      <c r="A42" s="6" t="n">
        <v>96</v>
      </c>
      <c r="B42" s="8" t="inlineStr">
        <is>
          <t>醫療</t>
        </is>
      </c>
      <c r="C42" s="6" t="n">
        <v>8</v>
      </c>
      <c r="D42" s="6" t="inlineStr">
        <is>
          <t>1,3,4,5,6,7,8,9</t>
        </is>
      </c>
      <c r="E42" s="8" t="inlineStr">
        <is>
          <t>治療致命傷、群體治療致命傷</t>
        </is>
      </c>
      <c r="F42" s="10" t="inlineStr">
        <is>
          <t>領域</t>
        </is>
      </c>
      <c r="G42" s="10" t="inlineStr">
        <is>
          <t>醫療</t>
        </is>
      </c>
      <c r="H42" s="8" t="inlineStr">
        <is>
          <t>合併了治療</t>
        </is>
      </c>
      <c r="I42" s="11" t="n"/>
    </row>
    <row r="43" ht="15.75" customHeight="1" s="14">
      <c r="A43" s="6" t="n">
        <v>29</v>
      </c>
      <c r="B43" s="8" t="inlineStr">
        <is>
          <t>魔法</t>
        </is>
      </c>
      <c r="C43" s="6" t="n">
        <v>8</v>
      </c>
      <c r="D43" s="6" t="inlineStr">
        <is>
          <t>1,2,3,4,5,6,7,9</t>
        </is>
      </c>
      <c r="E43" s="8" t="inlineStr">
        <is>
          <t>反魔場、解除魔法</t>
        </is>
      </c>
      <c r="F43" s="10" t="inlineStr">
        <is>
          <t>領域</t>
        </is>
      </c>
      <c r="G43" s="10" t="inlineStr">
        <is>
          <t>魔法</t>
        </is>
      </c>
      <c r="H43" s="8" t="n"/>
      <c r="I43" s="11" t="n"/>
    </row>
    <row r="44" ht="15.75" customHeight="1" s="14">
      <c r="A44" s="6" t="n">
        <v>104</v>
      </c>
      <c r="B44" s="8" t="inlineStr">
        <is>
          <t>乾渴領域</t>
        </is>
      </c>
      <c r="C44" s="6" t="n">
        <v>7</v>
      </c>
      <c r="D44" s="6" t="inlineStr">
        <is>
          <t>1,2,3,4,5,6,7</t>
        </is>
      </c>
      <c r="E44" s="8" t="inlineStr">
        <is>
          <t>脫水術、群體脫水術</t>
        </is>
      </c>
      <c r="F44" s="10" t="inlineStr">
        <is>
          <t>領域</t>
        </is>
      </c>
      <c r="G44" s="10" t="inlineStr">
        <is>
          <t>乾渴</t>
        </is>
      </c>
      <c r="H44" s="8" t="n"/>
      <c r="I44" s="11" t="n"/>
    </row>
    <row r="45" ht="15.75" customHeight="1" s="14">
      <c r="A45" s="6" t="n">
        <v>87</v>
      </c>
      <c r="B45" s="8" t="inlineStr">
        <is>
          <t>力量</t>
        </is>
      </c>
      <c r="C45" s="6" t="n">
        <v>7</v>
      </c>
      <c r="D45" s="6" t="inlineStr">
        <is>
          <t>1,4,5,6,7,8,9</t>
        </is>
      </c>
      <c r="E45" s="8" t="inlineStr">
        <is>
          <t>金剛拳、粉碎掌</t>
        </is>
      </c>
      <c r="F45" s="10" t="inlineStr">
        <is>
          <t>領域</t>
        </is>
      </c>
      <c r="G45" s="10" t="inlineStr">
        <is>
          <t>力量</t>
        </is>
      </c>
      <c r="H45" s="8" t="n"/>
      <c r="I45" s="11" t="n"/>
    </row>
    <row r="46" ht="15.75" customHeight="1" s="14">
      <c r="A46" s="6" t="n">
        <v>23</v>
      </c>
      <c r="B46" s="8" t="inlineStr">
        <is>
          <t>動物</t>
        </is>
      </c>
      <c r="C46" s="6" t="n">
        <v>7</v>
      </c>
      <c r="D46" s="6" t="inlineStr">
        <is>
          <t>1,2,3,5,6,7,9</t>
        </is>
      </c>
      <c r="E46" s="8" t="inlineStr">
        <is>
          <t>動物形態、防活物護罩</t>
        </is>
      </c>
      <c r="F46" s="10" t="inlineStr">
        <is>
          <t>領域</t>
        </is>
      </c>
      <c r="G46" s="10" t="inlineStr">
        <is>
          <t>動物</t>
        </is>
      </c>
      <c r="H46" s="8" t="n"/>
      <c r="I46" s="11" t="n"/>
    </row>
    <row r="47" ht="15.75" customHeight="1" s="14">
      <c r="A47" s="6" t="n">
        <v>14</v>
      </c>
      <c r="B47" s="8" t="inlineStr">
        <is>
          <t>善良</t>
        </is>
      </c>
      <c r="C47" s="6" t="n">
        <v>7</v>
      </c>
      <c r="D47" s="6" t="inlineStr">
        <is>
          <t>1,2,3,5,6,7,8</t>
        </is>
      </c>
      <c r="E47" s="8" t="inlineStr">
        <is>
          <t>援助術、劍刃護壁</t>
        </is>
      </c>
      <c r="F47" s="10" t="inlineStr">
        <is>
          <t>領域</t>
        </is>
      </c>
      <c r="G47" s="10" t="inlineStr">
        <is>
          <t>善良</t>
        </is>
      </c>
      <c r="H47" s="8" t="n"/>
      <c r="I47" s="11" t="n"/>
    </row>
    <row r="48" ht="15.75" customHeight="1" s="14">
      <c r="A48" s="6" t="n">
        <v>54</v>
      </c>
      <c r="B48" s="8" t="inlineStr">
        <is>
          <t>戰爭</t>
        </is>
      </c>
      <c r="C48" s="6" t="n">
        <v>7</v>
      </c>
      <c r="D48" s="6" t="inlineStr">
        <is>
          <t>2,4,5,6,7,8,9</t>
        </is>
      </c>
      <c r="E48" s="8" t="inlineStr">
        <is>
          <t>劍刃護壁、神能</t>
        </is>
      </c>
      <c r="F48" s="10" t="inlineStr">
        <is>
          <t>領域</t>
        </is>
      </c>
      <c r="G48" s="10" t="inlineStr">
        <is>
          <t>戰爭</t>
        </is>
      </c>
      <c r="H48" s="8" t="n"/>
      <c r="I48" s="11" t="n"/>
    </row>
    <row r="49" ht="15.75" customHeight="1" s="14">
      <c r="A49" s="6" t="n">
        <v>127</v>
      </c>
      <c r="B49" s="8" t="inlineStr">
        <is>
          <t>機關術士</t>
        </is>
      </c>
      <c r="C49" s="6" t="n">
        <v>7</v>
      </c>
      <c r="D49" s="6" t="inlineStr">
        <is>
          <t>1,2,3,4,6</t>
        </is>
      </c>
      <c r="E49" s="8" t="inlineStr">
        <is>
          <t>加固、修復致命傷</t>
        </is>
      </c>
      <c r="F49" s="10" t="inlineStr">
        <is>
          <t>職業</t>
        </is>
      </c>
      <c r="G49" s="10" t="inlineStr">
        <is>
          <t>機關術士</t>
        </is>
      </c>
      <c r="H49" s="8" t="n"/>
      <c r="I49" s="11" t="n"/>
    </row>
    <row r="50" ht="15.75" customHeight="1" s="14">
      <c r="A50" s="6" t="n">
        <v>93</v>
      </c>
      <c r="B50" s="8" t="inlineStr">
        <is>
          <t>破壞</t>
        </is>
      </c>
      <c r="C50" s="6" t="n">
        <v>7</v>
      </c>
      <c r="D50" s="6" t="inlineStr">
        <is>
          <t>1,2,3,4,5,6,9</t>
        </is>
      </c>
      <c r="E50" s="8" t="inlineStr">
        <is>
          <t>疫病術、重傷術</t>
        </is>
      </c>
      <c r="F50" s="10" t="inlineStr">
        <is>
          <t>領域</t>
        </is>
      </c>
      <c r="G50" s="10" t="inlineStr">
        <is>
          <t>破壞</t>
        </is>
      </c>
      <c r="H50" s="8" t="n"/>
      <c r="I50" s="11" t="n"/>
    </row>
    <row r="51" ht="15.75" customHeight="1" s="14">
      <c r="A51" s="6" t="n">
        <v>79</v>
      </c>
      <c r="B51" s="8" t="inlineStr">
        <is>
          <t>秩序</t>
        </is>
      </c>
      <c r="C51" s="6" t="n">
        <v>7</v>
      </c>
      <c r="D51" s="6" t="inlineStr">
        <is>
          <t>2,3,4,5,6,7,8</t>
        </is>
      </c>
      <c r="E51" s="8" t="inlineStr">
        <is>
          <t>安定心神、律言</t>
        </is>
      </c>
      <c r="F51" s="10" t="inlineStr">
        <is>
          <t>領域</t>
        </is>
      </c>
      <c r="G51" s="10" t="inlineStr">
        <is>
          <t>秩序</t>
        </is>
      </c>
      <c r="H51" s="8" t="n"/>
      <c r="I51" s="11" t="n"/>
    </row>
    <row r="52" ht="15.75" customHeight="1" s="14">
      <c r="A52" s="6" t="n">
        <v>41</v>
      </c>
      <c r="B52" s="8" t="inlineStr">
        <is>
          <t>術/法</t>
        </is>
      </c>
      <c r="C52" s="6" t="n">
        <v>7</v>
      </c>
      <c r="D52" s="6" t="inlineStr">
        <is>
          <t>2,3,5,6,7,8</t>
        </is>
      </c>
      <c r="E52" s="8" t="inlineStr">
        <is>
          <t>血管異變、啟蒙不死生物</t>
        </is>
      </c>
      <c r="F52" s="10" t="inlineStr">
        <is>
          <t>職業</t>
        </is>
      </c>
      <c r="G52" s="10" t="inlineStr">
        <is>
          <t>術士；法師</t>
        </is>
      </c>
      <c r="H52" s="8" t="inlineStr">
        <is>
          <t>拆成術士與法師兩個職業</t>
        </is>
      </c>
      <c r="I52" s="11" t="n"/>
    </row>
    <row r="53" ht="15.75" customHeight="1" s="14">
      <c r="A53" s="6" t="n">
        <v>92</v>
      </c>
      <c r="B53" s="8" t="inlineStr">
        <is>
          <t>詭術</t>
        </is>
      </c>
      <c r="C53" s="6" t="n">
        <v>7</v>
      </c>
      <c r="D53" s="6" t="inlineStr">
        <is>
          <t>1,3,4,5,6,7,9</t>
        </is>
      </c>
      <c r="E53" s="8" t="inlineStr">
        <is>
          <t>困惑術、易容術</t>
        </is>
      </c>
      <c r="F53" s="10" t="inlineStr">
        <is>
          <t>領域</t>
        </is>
      </c>
      <c r="G53" s="10" t="inlineStr">
        <is>
          <t>詭術</t>
        </is>
      </c>
      <c r="H53" s="8" t="inlineStr">
        <is>
          <t>合併了詭計</t>
        </is>
      </c>
      <c r="I53" s="11" t="n"/>
    </row>
    <row r="54" ht="15.75" customHeight="1" s="14">
      <c r="A54" s="6" t="n">
        <v>49</v>
      </c>
      <c r="B54" s="8" t="inlineStr">
        <is>
          <t>修驗者</t>
        </is>
      </c>
      <c r="C54" s="6" t="n">
        <v>6</v>
      </c>
      <c r="D54" s="6" t="inlineStr">
        <is>
          <t>2,3,5</t>
        </is>
      </c>
      <c r="E54" s="8" t="inlineStr">
        <is>
          <t>惑人厄運、惑人代換</t>
        </is>
      </c>
      <c r="F54" s="10" t="inlineStr">
        <is>
          <t>職業</t>
        </is>
      </c>
      <c r="G54" s="10" t="inlineStr">
        <is>
          <t>修驗者</t>
        </is>
      </c>
      <c r="H54" s="8" t="n"/>
      <c r="I54" s="11" t="n"/>
    </row>
    <row r="55" ht="15.75" customHeight="1" s="14">
      <c r="A55" s="6" t="n">
        <v>11</v>
      </c>
      <c r="B55" s="8" t="inlineStr">
        <is>
          <t>天空</t>
        </is>
      </c>
      <c r="C55" s="6" t="n">
        <v>6</v>
      </c>
      <c r="D55" s="6" t="inlineStr">
        <is>
          <t>1,2,3,4,8,9</t>
        </is>
      </c>
      <c r="E55" s="8" t="inlineStr">
        <is>
          <t>輕敏飛行、持久飛行</t>
        </is>
      </c>
      <c r="F55" s="10" t="inlineStr">
        <is>
          <t>領域</t>
        </is>
      </c>
      <c r="G55" s="10" t="inlineStr">
        <is>
          <t>天空</t>
        </is>
      </c>
      <c r="H55" s="8" t="n"/>
      <c r="I55" s="11" t="n"/>
    </row>
    <row r="56" ht="15.75" customHeight="1" s="14">
      <c r="A56" s="6" t="n">
        <v>81</v>
      </c>
      <c r="B56" s="8" t="inlineStr">
        <is>
          <t>歡娛</t>
        </is>
      </c>
      <c r="C56" s="6" t="n">
        <v>6</v>
      </c>
      <c r="D56" s="6" t="inlineStr">
        <is>
          <t>2,3,6,7,8,9</t>
        </is>
      </c>
      <c r="E56" s="8" t="inlineStr">
        <is>
          <t>天族血脈、升天的狂喜</t>
        </is>
      </c>
      <c r="F56" s="10" t="inlineStr">
        <is>
          <t>領域</t>
        </is>
      </c>
      <c r="G56" s="10" t="inlineStr">
        <is>
          <t>歡娛</t>
        </is>
      </c>
      <c r="H56" s="8" t="inlineStr">
        <is>
          <t>合併了歡愉</t>
        </is>
      </c>
      <c r="I56" s="11" t="n"/>
    </row>
    <row r="57" ht="15.75" customHeight="1" s="14">
      <c r="A57" s="6" t="n">
        <v>18</v>
      </c>
      <c r="B57" s="8" t="inlineStr">
        <is>
          <t>水族領域</t>
        </is>
      </c>
      <c r="C57" s="6" t="n">
        <v>6</v>
      </c>
      <c r="D57" s="6" t="inlineStr">
        <is>
          <t>1,3,4,6,7,8</t>
        </is>
      </c>
      <c r="E57" s="8" t="inlineStr">
        <is>
          <t>化水為氣、深海波濤</t>
        </is>
      </c>
      <c r="F57" s="10" t="inlineStr">
        <is>
          <t>領域</t>
        </is>
      </c>
      <c r="G57" s="10" t="inlineStr">
        <is>
          <t>水族</t>
        </is>
      </c>
      <c r="H57" s="8" t="n"/>
      <c r="I57" s="11" t="n"/>
    </row>
    <row r="58" ht="15.75" customHeight="1" s="14">
      <c r="A58" s="6" t="n">
        <v>80</v>
      </c>
      <c r="B58" s="8" t="inlineStr">
        <is>
          <t>淨化</t>
        </is>
      </c>
      <c r="C58" s="6" t="n">
        <v>6</v>
      </c>
      <c r="D58" s="6" t="inlineStr">
        <is>
          <t>1,2,3,4,6,9</t>
        </is>
      </c>
      <c r="E58" s="8" t="inlineStr">
        <is>
          <t>斥責術、神聖復仇</t>
        </is>
      </c>
      <c r="F58" s="10" t="inlineStr">
        <is>
          <t>領域</t>
        </is>
      </c>
      <c r="G58" s="10" t="inlineStr">
        <is>
          <t>淨化</t>
        </is>
      </c>
      <c r="H58" s="8" t="n"/>
      <c r="I58" s="11" t="n"/>
    </row>
    <row r="59" ht="15.75" customHeight="1" s="14">
      <c r="A59" s="6" t="n">
        <v>13</v>
      </c>
      <c r="B59" s="8" t="inlineStr">
        <is>
          <t>神譴</t>
        </is>
      </c>
      <c r="C59" s="6" t="n">
        <v>6</v>
      </c>
      <c r="D59" s="6" t="inlineStr">
        <is>
          <t>2,3,4,6,7,8</t>
        </is>
      </c>
      <c r="E59" s="8" t="inlineStr">
        <is>
          <t>授予苦痛、轉能藥劑</t>
        </is>
      </c>
      <c r="F59" s="10" t="inlineStr">
        <is>
          <t>領域</t>
        </is>
      </c>
      <c r="G59" s="10" t="inlineStr">
        <is>
          <t>神譴</t>
        </is>
      </c>
      <c r="H59" s="8" t="n"/>
      <c r="I59" s="11" t="n"/>
    </row>
    <row r="60" ht="15.75" customHeight="1" s="14">
      <c r="A60" s="6" t="n">
        <v>128</v>
      </c>
      <c r="B60" s="8" t="inlineStr">
        <is>
          <t>術士法師</t>
        </is>
      </c>
      <c r="C60" s="6" t="n">
        <v>6</v>
      </c>
      <c r="D60" s="6" t="inlineStr">
        <is>
          <t>1,4,8</t>
        </is>
      </c>
      <c r="E60" s="8" t="inlineStr">
        <is>
          <t>加固、錯亂狂叫術</t>
        </is>
      </c>
      <c r="F60" s="10" t="inlineStr">
        <is>
          <t>職業</t>
        </is>
      </c>
      <c r="G60" s="10" t="inlineStr">
        <is>
          <t>術士；法師</t>
        </is>
      </c>
      <c r="H60" s="8" t="inlineStr">
        <is>
          <t>拆成術士與法師兩個職業</t>
        </is>
      </c>
      <c r="I60" s="11" t="n"/>
    </row>
    <row r="61" ht="15.75" customHeight="1" s="14">
      <c r="A61" s="6" t="n">
        <v>116</v>
      </c>
      <c r="B61" s="8" t="inlineStr">
        <is>
          <t>饑餓領域</t>
        </is>
      </c>
      <c r="C61" s="6" t="n">
        <v>6</v>
      </c>
      <c r="D61" s="6" t="inlineStr">
        <is>
          <t>1,2,3,5,6,7</t>
        </is>
      </c>
      <c r="E61" s="8" t="inlineStr">
        <is>
          <t>君王之目、食屍鬼之域</t>
        </is>
      </c>
      <c r="F61" s="10" t="inlineStr">
        <is>
          <t>領域</t>
        </is>
      </c>
      <c r="G61" s="10" t="inlineStr">
        <is>
          <t>饑餓</t>
        </is>
      </c>
      <c r="H61" s="8" t="n"/>
      <c r="I61" s="11" t="n"/>
    </row>
    <row r="62" ht="15.75" customHeight="1" s="14">
      <c r="A62" s="6" t="n">
        <v>53</v>
      </c>
      <c r="B62" s="8" t="inlineStr">
        <is>
          <t>黑水領域</t>
        </is>
      </c>
      <c r="C62" s="6" t="n">
        <v>6</v>
      </c>
      <c r="D62" s="6" t="inlineStr">
        <is>
          <t>2,4,5,6,7,9</t>
        </is>
      </c>
      <c r="E62" s="8" t="inlineStr">
        <is>
          <t>黑水汙化、黑水觸手</t>
        </is>
      </c>
      <c r="F62" s="10" t="inlineStr">
        <is>
          <t>領域</t>
        </is>
      </c>
      <c r="G62" s="10" t="inlineStr">
        <is>
          <t>黑水</t>
        </is>
      </c>
      <c r="H62" s="8" t="n"/>
      <c r="I62" s="11" t="n"/>
    </row>
    <row r="63" ht="15.75" customHeight="1" s="14">
      <c r="A63" s="6" t="n">
        <v>94</v>
      </c>
      <c r="B63" s="8" t="inlineStr">
        <is>
          <t>不朽</t>
        </is>
      </c>
      <c r="C63" s="6" t="n">
        <v>5</v>
      </c>
      <c r="D63" s="6" t="inlineStr">
        <is>
          <t>3,4,6,7,9</t>
        </is>
      </c>
      <c r="E63" s="8" t="inlineStr">
        <is>
          <t>控制不朽生物、創造不朽生物</t>
        </is>
      </c>
      <c r="F63" s="10" t="inlineStr">
        <is>
          <t>領域</t>
        </is>
      </c>
      <c r="G63" s="10" t="inlineStr">
        <is>
          <t>不朽</t>
        </is>
      </c>
      <c r="H63" s="8" t="n"/>
      <c r="I63" s="11" t="n"/>
    </row>
    <row r="64" ht="15.75" customHeight="1" s="14">
      <c r="A64" s="6" t="n">
        <v>82</v>
      </c>
      <c r="B64" s="8" t="inlineStr">
        <is>
          <t>喜樂</t>
        </is>
      </c>
      <c r="C64" s="6" t="n">
        <v>5</v>
      </c>
      <c r="D64" s="6" t="inlineStr">
        <is>
          <t>1,2,3,5,7</t>
        </is>
      </c>
      <c r="E64" s="8" t="inlineStr">
        <is>
          <t>查芙的歡笑、萃煉的喜樂</t>
        </is>
      </c>
      <c r="F64" s="10" t="inlineStr">
        <is>
          <t>領域</t>
        </is>
      </c>
      <c r="G64" s="10" t="inlineStr">
        <is>
          <t>喜樂</t>
        </is>
      </c>
      <c r="H64" s="8" t="n"/>
      <c r="I64" s="11" t="n"/>
    </row>
    <row r="65" ht="15.75" customHeight="1" s="14">
      <c r="A65" s="6" t="n">
        <v>45</v>
      </c>
      <c r="B65" s="8" t="inlineStr">
        <is>
          <t>宿命</t>
        </is>
      </c>
      <c r="C65" s="6" t="n">
        <v>5</v>
      </c>
      <c r="D65" s="6" t="inlineStr">
        <is>
          <t>3,5,6,7,9</t>
        </is>
      </c>
      <c r="E65" s="8" t="inlineStr">
        <is>
          <t>強力降咒、揀選命運</t>
        </is>
      </c>
      <c r="F65" s="10" t="inlineStr">
        <is>
          <t>領域</t>
        </is>
      </c>
      <c r="G65" s="10" t="inlineStr">
        <is>
          <t>宿命</t>
        </is>
      </c>
      <c r="H65" s="8" t="n"/>
      <c r="I65" s="11" t="n"/>
    </row>
    <row r="66" ht="15.75" customHeight="1" s="14">
      <c r="A66" s="6" t="n">
        <v>42</v>
      </c>
      <c r="B66" s="8" t="inlineStr">
        <is>
          <t>控死領域</t>
        </is>
      </c>
      <c r="C66" s="6" t="n">
        <v>5</v>
      </c>
      <c r="D66" s="6" t="inlineStr">
        <is>
          <t>1,3,4,6,7</t>
        </is>
      </c>
      <c r="E66" s="8" t="inlineStr">
        <is>
          <t>驅血術、啟蒙不死生物</t>
        </is>
      </c>
      <c r="F66" s="10" t="inlineStr">
        <is>
          <t>領域</t>
        </is>
      </c>
      <c r="G66" s="10" t="inlineStr">
        <is>
          <t>控死</t>
        </is>
      </c>
      <c r="H66" s="8" t="n"/>
      <c r="I66" s="11" t="n"/>
    </row>
    <row r="67" ht="15.75" customHeight="1" s="14">
      <c r="A67" s="6" t="n">
        <v>103</v>
      </c>
      <c r="B67" s="8" t="inlineStr">
        <is>
          <t>沙領域</t>
        </is>
      </c>
      <c r="C67" s="6" t="n">
        <v>5</v>
      </c>
      <c r="D67" s="6" t="inlineStr">
        <is>
          <t>1,3,5,7,8</t>
        </is>
      </c>
      <c r="E67" s="8" t="inlineStr">
        <is>
          <t>沙漠束縛術、塵風爆</t>
        </is>
      </c>
      <c r="F67" s="10" t="inlineStr">
        <is>
          <t>領域</t>
        </is>
      </c>
      <c r="G67" s="10" t="inlineStr">
        <is>
          <t>沙</t>
        </is>
      </c>
      <c r="H67" s="8" t="n"/>
      <c r="I67" s="11" t="n"/>
    </row>
    <row r="68" ht="15.75" customHeight="1" s="14">
      <c r="A68" s="6" t="n">
        <v>91</v>
      </c>
      <c r="B68" s="8" t="inlineStr">
        <is>
          <t>法師</t>
        </is>
      </c>
      <c r="C68" s="6" t="n">
        <v>5</v>
      </c>
      <c r="D68" s="6" t="inlineStr">
        <is>
          <t>4,6,8</t>
        </is>
      </c>
      <c r="E68" s="8" t="inlineStr">
        <is>
          <t>冰柱術、法師回憶術</t>
        </is>
      </c>
      <c r="F68" s="10" t="inlineStr">
        <is>
          <t>職業</t>
        </is>
      </c>
      <c r="G68" s="10" t="inlineStr">
        <is>
          <t>法師</t>
        </is>
      </c>
      <c r="H68" s="8" t="n"/>
      <c r="I68" s="11" t="n"/>
    </row>
    <row r="69" ht="15.75" customHeight="1" s="14">
      <c r="A69" s="6" t="n">
        <v>112</v>
      </c>
      <c r="B69" s="8" t="inlineStr">
        <is>
          <t>法爾賴恩的愛人</t>
        </is>
      </c>
      <c r="C69" s="6" t="n">
        <v>5</v>
      </c>
      <c r="D69" s="6" t="inlineStr">
        <is>
          <t>1,2,3,4</t>
        </is>
      </c>
      <c r="E69" s="8" t="inlineStr">
        <is>
          <t>舒緩痛苦、鵬羽天之眼</t>
        </is>
      </c>
      <c r="F69" s="10" t="inlineStr">
        <is>
          <t>職業</t>
        </is>
      </c>
      <c r="G69" s="10" t="inlineStr">
        <is>
          <t>法爾賴恩的愛人</t>
        </is>
      </c>
      <c r="H69" s="8" t="n"/>
      <c r="I69" s="11" t="n"/>
    </row>
    <row r="70" ht="15.75" customHeight="1" s="14">
      <c r="A70" s="6" t="n">
        <v>130</v>
      </c>
      <c r="B70" s="8" t="inlineStr">
        <is>
          <t>盛夏領域</t>
        </is>
      </c>
      <c r="C70" s="6" t="n">
        <v>5</v>
      </c>
      <c r="D70" s="6" t="inlineStr">
        <is>
          <t>1,2,3,4,5</t>
        </is>
      </c>
      <c r="E70" s="8" t="inlineStr">
        <is>
          <t>阻礙陽光、防護乾燥</t>
        </is>
      </c>
      <c r="F70" s="10" t="inlineStr">
        <is>
          <t>領域</t>
        </is>
      </c>
      <c r="G70" s="10" t="inlineStr">
        <is>
          <t>盛夏</t>
        </is>
      </c>
      <c r="H70" s="8" t="n"/>
      <c r="I70" s="11" t="n"/>
    </row>
    <row r="71" ht="15.75" customHeight="1" s="14">
      <c r="A71" s="6" t="n">
        <v>102</v>
      </c>
      <c r="B71" s="8" t="inlineStr">
        <is>
          <t>黑衛</t>
        </is>
      </c>
      <c r="C71" s="6" t="n">
        <v>5</v>
      </c>
      <c r="D71" s="6" t="inlineStr">
        <is>
          <t>1,2,3</t>
        </is>
      </c>
      <c r="E71" s="8" t="inlineStr">
        <is>
          <t>惡魔之皮、神聖犧牲</t>
        </is>
      </c>
      <c r="F71" s="10" t="inlineStr">
        <is>
          <t>職業</t>
        </is>
      </c>
      <c r="G71" s="10" t="inlineStr">
        <is>
          <t>暗黑衛士</t>
        </is>
      </c>
      <c r="H71" s="8" t="n"/>
      <c r="I71" s="11" t="n"/>
    </row>
    <row r="72" ht="15.75" customHeight="1" s="14">
      <c r="A72" s="6" t="n">
        <v>88</v>
      </c>
      <c r="B72" s="8" t="inlineStr">
        <is>
          <t>勇氣</t>
        </is>
      </c>
      <c r="C72" s="6" t="n">
        <v>4</v>
      </c>
      <c r="D72" s="6" t="inlineStr">
        <is>
          <t>3,5,8,9</t>
        </is>
      </c>
      <c r="E72" s="8" t="inlineStr">
        <is>
          <t>勇氣披風、高等勇氣披風</t>
        </is>
      </c>
      <c r="F72" s="10" t="inlineStr">
        <is>
          <t>領域</t>
        </is>
      </c>
      <c r="G72" s="10" t="inlineStr">
        <is>
          <t>勇氣</t>
        </is>
      </c>
      <c r="H72" s="8" t="n"/>
      <c r="I72" s="11" t="n"/>
    </row>
    <row r="73" ht="15.75" customHeight="1" s="14">
      <c r="A73" s="6" t="n">
        <v>77</v>
      </c>
      <c r="B73" s="8" t="inlineStr">
        <is>
          <t>天族</t>
        </is>
      </c>
      <c r="C73" s="6" t="n">
        <v>4</v>
      </c>
      <c r="D73" s="6" t="inlineStr">
        <is>
          <t>1,5,6,7</t>
        </is>
      </c>
      <c r="E73" s="8" t="inlineStr">
        <is>
          <t>召喚忠誠侍者、天降疾電</t>
        </is>
      </c>
      <c r="F73" s="10" t="inlineStr">
        <is>
          <t>領域</t>
        </is>
      </c>
      <c r="G73" s="10" t="inlineStr">
        <is>
          <t>天族</t>
        </is>
      </c>
      <c r="H73" s="8" t="inlineStr">
        <is>
          <t>位面領域</t>
        </is>
      </c>
      <c r="I73" s="11" t="n"/>
    </row>
    <row r="74" ht="15.75" customHeight="1" s="14">
      <c r="A74" s="6" t="n">
        <v>48</v>
      </c>
      <c r="B74" s="8" t="inlineStr">
        <is>
          <t>導師</t>
        </is>
      </c>
      <c r="C74" s="6" t="n">
        <v>4</v>
      </c>
      <c r="D74" s="6" t="inlineStr">
        <is>
          <t>2,5</t>
        </is>
      </c>
      <c r="E74" s="8" t="inlineStr">
        <is>
          <t>惑人厄運、惑人代換</t>
        </is>
      </c>
      <c r="F74" s="10" t="inlineStr">
        <is>
          <t>職業</t>
        </is>
      </c>
      <c r="G74" s="10" t="inlineStr">
        <is>
          <t>修驗者</t>
        </is>
      </c>
      <c r="H74" s="8" t="inlineStr">
        <is>
          <t>合併到修驗者</t>
        </is>
      </c>
      <c r="I74" s="11" t="n"/>
    </row>
    <row r="75" ht="15.75" customHeight="1" s="14">
      <c r="A75" s="6" t="n">
        <v>68</v>
      </c>
      <c r="B75" s="8" t="inlineStr">
        <is>
          <t>格溫哈威夫鬥士</t>
        </is>
      </c>
      <c r="C75" s="6" t="n">
        <v>4</v>
      </c>
      <c r="D75" s="6" t="inlineStr">
        <is>
          <t>1,4</t>
        </is>
      </c>
      <c r="E75" s="8" t="inlineStr">
        <is>
          <t>殉難者之血、聖能奉獻</t>
        </is>
      </c>
      <c r="F75" s="10" t="inlineStr">
        <is>
          <t>職業</t>
        </is>
      </c>
      <c r="G75" s="10" t="inlineStr">
        <is>
          <t>格溫哈威夫鬥士</t>
        </is>
      </c>
      <c r="H75" s="8" t="n"/>
      <c r="I75" s="11" t="n"/>
    </row>
    <row r="76" ht="15.75" customHeight="1" s="14">
      <c r="A76" s="6" t="n">
        <v>69</v>
      </c>
      <c r="B76" s="8" t="inlineStr">
        <is>
          <t>瘋狂</t>
        </is>
      </c>
      <c r="C76" s="6" t="n">
        <v>4</v>
      </c>
      <c r="D76" s="6" t="inlineStr">
        <is>
          <t>2,5,8</t>
        </is>
      </c>
      <c r="E76" s="8" t="inlineStr">
        <is>
          <t>著魔之矢、昏亂彈</t>
        </is>
      </c>
      <c r="F76" s="10" t="inlineStr">
        <is>
          <t>領域</t>
        </is>
      </c>
      <c r="G76" s="10" t="inlineStr">
        <is>
          <t>瘋狂</t>
        </is>
      </c>
      <c r="H76" s="8" t="n"/>
      <c r="I76" s="11" t="n"/>
    </row>
    <row r="77" ht="15.75" customHeight="1" s="14">
      <c r="A77" s="6" t="n">
        <v>105</v>
      </c>
      <c r="B77" s="8" t="inlineStr">
        <is>
          <t>督依德</t>
        </is>
      </c>
      <c r="C77" s="6" t="n">
        <v>4</v>
      </c>
      <c r="D77" s="6" t="inlineStr">
        <is>
          <t>1,2,3,7</t>
        </is>
      </c>
      <c r="E77" s="8" t="inlineStr">
        <is>
          <t>偵測異形、自然怒意</t>
        </is>
      </c>
      <c r="F77" s="10" t="inlineStr">
        <is>
          <t>職業</t>
        </is>
      </c>
      <c r="G77" s="10" t="inlineStr">
        <is>
          <t>德魯伊</t>
        </is>
      </c>
      <c r="H77" s="8" t="n"/>
      <c r="I77" s="11" t="n"/>
    </row>
    <row r="78" ht="15.75" customHeight="1" s="14">
      <c r="A78" s="6" t="n">
        <v>38</v>
      </c>
      <c r="B78" s="8" t="inlineStr">
        <is>
          <t>信使</t>
        </is>
      </c>
      <c r="C78" s="6" t="n">
        <v>3</v>
      </c>
      <c r="D78" s="6" t="inlineStr">
        <is>
          <t>7,8,9</t>
        </is>
      </c>
      <c r="E78" s="8" t="inlineStr">
        <is>
          <t>神性型貌、高等神性型貌</t>
        </is>
      </c>
      <c r="F78" s="10" t="inlineStr">
        <is>
          <t>職業</t>
        </is>
      </c>
      <c r="G78" s="10" t="inlineStr">
        <is>
          <t>信使</t>
        </is>
      </c>
      <c r="H78" s="8" t="n"/>
      <c r="I78" s="11" t="n"/>
    </row>
    <row r="79" ht="15.75" customHeight="1" s="14">
      <c r="A79" s="6" t="n">
        <v>84</v>
      </c>
      <c r="B79" s="8" t="inlineStr">
        <is>
          <t>德魯伊的</t>
        </is>
      </c>
      <c r="C79" s="6" t="n">
        <v>3</v>
      </c>
      <c r="D79" s="6" t="inlineStr">
        <is>
          <t>4,5,6</t>
        </is>
      </c>
      <c r="E79" s="8" t="inlineStr">
        <is>
          <t>窒息之沙、熔岩牆</t>
        </is>
      </c>
      <c r="F79" s="10" t="inlineStr">
        <is>
          <t>職業</t>
        </is>
      </c>
      <c r="G79" s="10" t="inlineStr">
        <is>
          <t>德魯伊</t>
        </is>
      </c>
      <c r="H79" s="8" t="n"/>
      <c r="I79" s="11" t="n"/>
    </row>
    <row r="80" ht="15.75" customHeight="1" s="14">
      <c r="A80" s="6" t="n">
        <v>78</v>
      </c>
      <c r="B80" s="8" t="inlineStr">
        <is>
          <t>機械界</t>
        </is>
      </c>
      <c r="C80" s="6" t="n">
        <v>3</v>
      </c>
      <c r="D80" s="6" t="inlineStr">
        <is>
          <t>2,3,9</t>
        </is>
      </c>
      <c r="E80" s="8" t="inlineStr">
        <is>
          <t>召喚獵偷生使、秩序罩袍</t>
        </is>
      </c>
      <c r="F80" s="10" t="inlineStr">
        <is>
          <t>領域</t>
        </is>
      </c>
      <c r="G80" s="10" t="inlineStr">
        <is>
          <t>機械界</t>
        </is>
      </c>
      <c r="H80" s="8" t="inlineStr">
        <is>
          <t>位面領域</t>
        </is>
      </c>
      <c r="I80" s="11" t="n"/>
    </row>
    <row r="81" ht="15.75" customHeight="1" s="14">
      <c r="A81" s="6" t="n">
        <v>44</v>
      </c>
      <c r="B81" s="8" t="inlineStr">
        <is>
          <t>深淵</t>
        </is>
      </c>
      <c r="C81" s="6" t="n">
        <v>3</v>
      </c>
      <c r="D81" s="6" t="inlineStr">
        <is>
          <t>3,4,8</t>
        </is>
      </c>
      <c r="E81" s="8" t="inlineStr">
        <is>
          <t>巴布魔粘液護身、巴羅魔烈焰護身</t>
        </is>
      </c>
      <c r="F81" s="10" t="inlineStr">
        <is>
          <t>領域</t>
        </is>
      </c>
      <c r="G81" s="10" t="inlineStr">
        <is>
          <t>深淵</t>
        </is>
      </c>
      <c r="H81" s="8" t="inlineStr">
        <is>
          <t>位面領域</t>
        </is>
      </c>
      <c r="I81" s="11" t="n"/>
    </row>
    <row r="82" ht="15.75" customHeight="1" s="14">
      <c r="A82" s="6" t="n">
        <v>196</v>
      </c>
      <c r="B82" s="8" t="inlineStr">
        <is>
          <t>神秘</t>
        </is>
      </c>
      <c r="C82" s="6" t="n">
        <v>3</v>
      </c>
      <c r="D82" s="6" t="inlineStr">
        <is>
          <t>3,6,9</t>
        </is>
      </c>
      <c r="E82" s="8" t="inlineStr">
        <is>
          <t>神之面容、高等神之面容</t>
        </is>
      </c>
      <c r="F82" s="10" t="inlineStr">
        <is>
          <t>領域</t>
        </is>
      </c>
      <c r="G82" s="10" t="inlineStr">
        <is>
          <t>神秘</t>
        </is>
      </c>
      <c r="H82" s="8" t="n"/>
      <c r="I82" s="11" t="n"/>
    </row>
    <row r="83" ht="15.75" customHeight="1" s="14">
      <c r="A83" s="6" t="n">
        <v>63</v>
      </c>
      <c r="B83" s="8" t="inlineStr">
        <is>
          <t>精類</t>
        </is>
      </c>
      <c r="C83" s="6" t="n">
        <v>3</v>
      </c>
      <c r="D83" s="6" t="inlineStr">
        <is>
          <t>3,4,8</t>
        </is>
      </c>
      <c r="E83" s="8" t="inlineStr">
        <is>
          <t>光彩奪目之美、第六感神射</t>
        </is>
      </c>
      <c r="F83" s="10" t="inlineStr">
        <is>
          <t>領域</t>
        </is>
      </c>
      <c r="G83" s="10" t="inlineStr">
        <is>
          <t>精類</t>
        </is>
      </c>
      <c r="H83" s="8" t="n"/>
      <c r="I83" s="11" t="n"/>
    </row>
    <row r="84" ht="15.75" customHeight="1" s="14">
      <c r="A84" s="6" t="n">
        <v>22</v>
      </c>
      <c r="B84" s="8" t="inlineStr">
        <is>
          <t>薄暮劍士</t>
        </is>
      </c>
      <c r="C84" s="6" t="n">
        <v>3</v>
      </c>
      <c r="D84" s="6" t="inlineStr">
        <is>
          <t>2,3</t>
        </is>
      </c>
      <c r="E84" s="8" t="inlineStr">
        <is>
          <t>野性力量、偏折力場</t>
        </is>
      </c>
      <c r="F84" s="10" t="inlineStr">
        <is>
          <t>職業</t>
        </is>
      </c>
      <c r="G84" s="10" t="inlineStr">
        <is>
          <t>暮刃</t>
        </is>
      </c>
      <c r="H84" s="8" t="n"/>
      <c r="I84" s="11" t="n"/>
    </row>
    <row r="85" ht="15.75" customHeight="1" s="14">
      <c r="A85" s="6" t="n">
        <v>67</v>
      </c>
      <c r="B85" s="8" t="inlineStr">
        <is>
          <t>隆冬</t>
        </is>
      </c>
      <c r="C85" s="6" t="n">
        <v>3</v>
      </c>
      <c r="D85" s="6" t="inlineStr">
        <is>
          <t>5,6,9</t>
        </is>
      </c>
      <c r="E85" s="8" t="inlineStr">
        <is>
          <t>暴風雪、死亡之雹</t>
        </is>
      </c>
      <c r="F85" s="10" t="inlineStr">
        <is>
          <t>領域</t>
        </is>
      </c>
      <c r="G85" s="10" t="inlineStr">
        <is>
          <t>隆冬</t>
        </is>
      </c>
      <c r="H85" s="8" t="n"/>
      <c r="I85" s="11" t="n"/>
    </row>
    <row r="86" ht="15.75" customHeight="1" s="14">
      <c r="A86" s="6" t="n">
        <v>50</v>
      </c>
      <c r="B86" s="8" t="inlineStr">
        <is>
          <t>風暴</t>
        </is>
      </c>
      <c r="C86" s="6" t="n">
        <v>3</v>
      </c>
      <c r="D86" s="6" t="inlineStr">
        <is>
          <t>2,6,9</t>
        </is>
      </c>
      <c r="E86" s="8" t="inlineStr">
        <is>
          <t>束縛之風、雲中漫步</t>
        </is>
      </c>
      <c r="F86" s="10" t="inlineStr">
        <is>
          <t>領域</t>
        </is>
      </c>
      <c r="G86" s="10" t="inlineStr">
        <is>
          <t>風暴</t>
        </is>
      </c>
      <c r="H86" s="8" t="n"/>
      <c r="I86" s="11" t="n"/>
    </row>
    <row r="87" ht="15.75" customHeight="1" s="14">
      <c r="A87" s="6" t="n">
        <v>181</v>
      </c>
      <c r="B87" s="8" t="inlineStr">
        <is>
          <t>魔法師/巫師</t>
        </is>
      </c>
      <c r="C87" s="6" t="n">
        <v>3</v>
      </c>
      <c r="D87" s="6" t="inlineStr">
        <is>
          <t>7</t>
        </is>
      </c>
      <c r="E87" s="8" t="inlineStr">
        <is>
          <t>唯我論、震懾射線</t>
        </is>
      </c>
      <c r="F87" s="10" t="inlineStr">
        <is>
          <t>職業</t>
        </is>
      </c>
      <c r="G87" s="10" t="inlineStr">
        <is>
          <t>術士；法師</t>
        </is>
      </c>
      <c r="H87" s="8" t="inlineStr">
        <is>
          <t>拆成術士與法師兩個職業</t>
        </is>
      </c>
      <c r="I87" s="11" t="n"/>
    </row>
    <row r="88" ht="15.75" customHeight="1" s="14">
      <c r="A88" s="6" t="n">
        <v>35</v>
      </c>
      <c r="B88" s="8" t="inlineStr">
        <is>
          <t>黑暗</t>
        </is>
      </c>
      <c r="C88" s="6" t="n">
        <v>3</v>
      </c>
      <c r="D88" s="6" t="inlineStr">
        <is>
          <t>3,4,5</t>
        </is>
      </c>
      <c r="E88" s="8" t="inlineStr">
        <is>
          <t>黑暗護甲、黑光術</t>
        </is>
      </c>
      <c r="F88" s="10" t="inlineStr">
        <is>
          <t>領域</t>
        </is>
      </c>
      <c r="G88" s="10" t="inlineStr">
        <is>
          <t>黑暗</t>
        </is>
      </c>
      <c r="H88" s="8" t="n"/>
      <c r="I88" s="11" t="n"/>
    </row>
    <row r="89" ht="15.75" customHeight="1" s="14">
      <c r="A89" s="6" t="n">
        <v>169</v>
      </c>
      <c r="B89" s="8" t="inlineStr">
        <is>
          <t>冥土</t>
        </is>
      </c>
      <c r="C89" s="6" t="n">
        <v>2</v>
      </c>
      <c r="D89" s="6" t="inlineStr">
        <is>
          <t>2</t>
        </is>
      </c>
      <c r="E89" s="8" t="inlineStr">
        <is>
          <t>叱喝術、抵抗異界傾向</t>
        </is>
      </c>
      <c r="F89" s="10" t="inlineStr">
        <is>
          <t>領域</t>
        </is>
      </c>
      <c r="G89" s="10" t="inlineStr">
        <is>
          <t>冥土</t>
        </is>
      </c>
      <c r="H89" s="8" t="inlineStr">
        <is>
          <t>位面領域</t>
        </is>
      </c>
      <c r="I89" s="11" t="n"/>
    </row>
    <row r="90" ht="15.75" customHeight="1" s="14">
      <c r="A90" s="6" t="n">
        <v>75</v>
      </c>
      <c r="B90" s="8" t="inlineStr">
        <is>
          <t>力量領域</t>
        </is>
      </c>
      <c r="C90" s="6" t="n">
        <v>2</v>
      </c>
      <c r="D90" s="6" t="inlineStr">
        <is>
          <t>2,3</t>
        </is>
      </c>
      <c r="E90" s="8" t="inlineStr">
        <is>
          <t>牛之力量、魔化防具</t>
        </is>
      </c>
      <c r="F90" s="10" t="inlineStr">
        <is>
          <t>領域</t>
        </is>
      </c>
      <c r="G90" s="10" t="inlineStr">
        <is>
          <t>力量</t>
        </is>
      </c>
      <c r="H90" s="8" t="n"/>
      <c r="I90" s="11" t="n"/>
    </row>
    <row r="91" ht="15.75" customHeight="1" s="14">
      <c r="A91" s="6" t="n">
        <v>89</v>
      </c>
      <c r="B91" s="8" t="inlineStr">
        <is>
          <t>卓爾</t>
        </is>
      </c>
      <c r="C91" s="6" t="n">
        <v>2</v>
      </c>
      <c r="D91" s="6" t="inlineStr">
        <is>
          <t>1,6</t>
        </is>
      </c>
      <c r="E91" s="8" t="inlineStr">
        <is>
          <t>暗之斗篷、高級驅魔屏障</t>
        </is>
      </c>
      <c r="F91" s="10" t="inlineStr">
        <is>
          <t>領域</t>
        </is>
      </c>
      <c r="G91" s="10" t="inlineStr">
        <is>
          <t>卓爾</t>
        </is>
      </c>
      <c r="H91" s="8" t="n"/>
      <c r="I91" s="11" t="n"/>
    </row>
    <row r="92" ht="15.75" customHeight="1" s="14">
      <c r="A92" s="6" t="n">
        <v>126</v>
      </c>
      <c r="B92" s="8" t="inlineStr">
        <is>
          <t>工匠領域</t>
        </is>
      </c>
      <c r="C92" s="6" t="n">
        <v>2</v>
      </c>
      <c r="D92" s="6" t="inlineStr">
        <is>
          <t>7,8</t>
        </is>
      </c>
      <c r="E92" s="8" t="inlineStr">
        <is>
          <t>加固、真實造物術</t>
        </is>
      </c>
      <c r="F92" s="10" t="inlineStr">
        <is>
          <t>領域</t>
        </is>
      </c>
      <c r="G92" s="10" t="inlineStr">
        <is>
          <t>工藝</t>
        </is>
      </c>
      <c r="H92" s="8" t="inlineStr">
        <is>
          <t>合併了工匠領域，待確認</t>
        </is>
      </c>
      <c r="I92" s="11" t="n"/>
    </row>
    <row r="93" ht="15.75" customHeight="1" s="14">
      <c r="A93" s="6" t="n">
        <v>118</v>
      </c>
      <c r="B93" s="8" t="inlineStr">
        <is>
          <t>工藝</t>
        </is>
      </c>
      <c r="C93" s="6" t="n">
        <v>2</v>
      </c>
      <c r="D93" s="6" t="inlineStr">
        <is>
          <t>6,9</t>
        </is>
      </c>
      <c r="E93" s="8" t="inlineStr">
        <is>
          <t>神奇機械、高等神奇機械</t>
        </is>
      </c>
      <c r="F93" s="10" t="inlineStr">
        <is>
          <t>領域</t>
        </is>
      </c>
      <c r="G93" s="10" t="inlineStr">
        <is>
          <t>工藝</t>
        </is>
      </c>
      <c r="H93" s="8" t="inlineStr">
        <is>
          <t>合併了工匠領域，待確認</t>
        </is>
      </c>
      <c r="I93" s="11" t="n"/>
    </row>
    <row r="94" ht="15.75" customHeight="1" s="14">
      <c r="A94" s="6" t="n">
        <v>129</v>
      </c>
      <c r="B94" s="8" t="inlineStr">
        <is>
          <t>巴拉契艾爾的密使</t>
        </is>
      </c>
      <c r="C94" s="6" t="n">
        <v>2</v>
      </c>
      <c r="D94" s="6" t="inlineStr">
        <is>
          <t>1,4</t>
        </is>
      </c>
      <c r="E94" s="8" t="inlineStr">
        <is>
          <t>天境之聲、希望萌現</t>
        </is>
      </c>
      <c r="F94" s="10" t="inlineStr">
        <is>
          <t>職業</t>
        </is>
      </c>
      <c r="G94" s="10" t="inlineStr">
        <is>
          <t>巴拉契艾爾的密使</t>
        </is>
      </c>
      <c r="H94" s="8" t="n"/>
      <c r="I94" s="11" t="n"/>
    </row>
    <row r="95" ht="15.75" customHeight="1" s="14">
      <c r="A95" s="6" t="n">
        <v>86</v>
      </c>
      <c r="B95" s="8" t="inlineStr">
        <is>
          <t>平衡</t>
        </is>
      </c>
      <c r="C95" s="6" t="n">
        <v>2</v>
      </c>
      <c r="D95" s="6" t="inlineStr">
        <is>
          <t>3,5</t>
        </is>
      </c>
      <c r="E95" s="8" t="inlineStr">
        <is>
          <t>心靈沉靜、群體聖域術</t>
        </is>
      </c>
      <c r="F95" s="10" t="inlineStr">
        <is>
          <t>領域</t>
        </is>
      </c>
      <c r="G95" s="10" t="inlineStr">
        <is>
          <t>平衡</t>
        </is>
      </c>
      <c r="H95" s="8" t="n"/>
      <c r="I95" s="11" t="n"/>
    </row>
    <row r="96" ht="15.75" customHeight="1" s="14">
      <c r="A96" s="6" t="n">
        <v>164</v>
      </c>
      <c r="B96" s="8" t="inlineStr">
        <is>
          <t>心靈</t>
        </is>
      </c>
      <c r="C96" s="6" t="n">
        <v>2</v>
      </c>
      <c r="D96" s="6" t="inlineStr">
        <is>
          <t>3,6</t>
        </is>
      </c>
      <c r="E96" s="8" t="inlineStr">
        <is>
          <t>思想探針、次級精神連結</t>
        </is>
      </c>
      <c r="F96" s="10" t="inlineStr">
        <is>
          <t>領域</t>
        </is>
      </c>
      <c r="G96" s="10" t="inlineStr">
        <is>
          <t>心靈</t>
        </is>
      </c>
      <c r="H96" s="8" t="n"/>
      <c r="I96" s="11" t="n"/>
    </row>
    <row r="97" ht="15.75" customHeight="1" s="14">
      <c r="A97" s="6" t="n">
        <v>139</v>
      </c>
      <c r="B97" s="8" t="inlineStr">
        <is>
          <t>戰爭領域</t>
        </is>
      </c>
      <c r="C97" s="6" t="n">
        <v>2</v>
      </c>
      <c r="D97" s="6" t="inlineStr">
        <is>
          <t>1,3</t>
        </is>
      </c>
      <c r="E97" s="8" t="inlineStr">
        <is>
          <t>魔化防具、魔化武器</t>
        </is>
      </c>
      <c r="F97" s="10" t="inlineStr">
        <is>
          <t>領域</t>
        </is>
      </c>
      <c r="G97" s="10" t="inlineStr">
        <is>
          <t>戰爭</t>
        </is>
      </c>
      <c r="H97" s="8" t="n"/>
      <c r="I97" s="11" t="n"/>
    </row>
    <row r="98" ht="15.75" customHeight="1" s="14">
      <c r="A98" s="6" t="n">
        <v>145</v>
      </c>
      <c r="B98" s="8" t="inlineStr">
        <is>
          <t>支配</t>
        </is>
      </c>
      <c r="C98" s="6" t="n">
        <v>2</v>
      </c>
      <c r="D98" s="6" t="inlineStr">
        <is>
          <t>8,9</t>
        </is>
      </c>
      <c r="E98" s="8" t="inlineStr">
        <is>
          <t>殘酷奴役、真實支配術</t>
        </is>
      </c>
      <c r="F98" s="10" t="inlineStr">
        <is>
          <t>領域</t>
        </is>
      </c>
      <c r="G98" s="10" t="inlineStr">
        <is>
          <t>支配</t>
        </is>
      </c>
      <c r="H98" s="8" t="n"/>
      <c r="I98" s="11" t="n"/>
    </row>
    <row r="99" ht="15.75" customHeight="1" s="14">
      <c r="A99" s="6" t="n">
        <v>99</v>
      </c>
      <c r="B99" s="8" t="inlineStr">
        <is>
          <t>晦暗</t>
        </is>
      </c>
      <c r="C99" s="6" t="n">
        <v>2</v>
      </c>
      <c r="D99" s="6" t="inlineStr">
        <is>
          <t>2,4</t>
        </is>
      </c>
      <c r="E99" s="8" t="inlineStr">
        <is>
          <t>詛咒黑暗、黑暗箭</t>
        </is>
      </c>
      <c r="F99" s="10" t="inlineStr">
        <is>
          <t>領域</t>
        </is>
      </c>
      <c r="G99" s="10" t="inlineStr">
        <is>
          <t>黑暗</t>
        </is>
      </c>
      <c r="H99" s="8" t="inlineStr">
        <is>
          <t>合併到黑暗</t>
        </is>
      </c>
      <c r="I99" s="11" t="inlineStr">
        <is>
          <t>黑暗</t>
        </is>
      </c>
    </row>
    <row r="100" ht="15.75" customHeight="1" s="14">
      <c r="A100" s="6" t="n">
        <v>146</v>
      </c>
      <c r="B100" s="8" t="inlineStr">
        <is>
          <t>月亮</t>
        </is>
      </c>
      <c r="C100" s="6" t="n">
        <v>2</v>
      </c>
      <c r="D100" s="6" t="inlineStr">
        <is>
          <t>3,9</t>
        </is>
      </c>
      <c r="E100" s="8" t="inlineStr">
        <is>
          <t>月刃術、月炎術</t>
        </is>
      </c>
      <c r="F100" s="10" t="inlineStr">
        <is>
          <t>領域</t>
        </is>
      </c>
      <c r="G100" s="10" t="inlineStr">
        <is>
          <t>月亮</t>
        </is>
      </c>
      <c r="H100" s="8" t="n"/>
      <c r="I100" s="11" t="n"/>
    </row>
    <row r="101" ht="15.75" customHeight="1" s="14">
      <c r="A101" s="6" t="n">
        <v>147</v>
      </c>
      <c r="B101" s="8" t="inlineStr">
        <is>
          <t>月亮領域</t>
        </is>
      </c>
      <c r="C101" s="6" t="n">
        <v>2</v>
      </c>
      <c r="D101" s="6" t="inlineStr">
        <is>
          <t>2,5</t>
        </is>
      </c>
      <c r="E101" s="8" t="inlineStr">
        <is>
          <t>月光道路、月光錐</t>
        </is>
      </c>
      <c r="F101" s="10" t="inlineStr">
        <is>
          <t>領域</t>
        </is>
      </c>
      <c r="G101" s="10" t="inlineStr">
        <is>
          <t>月亮</t>
        </is>
      </c>
      <c r="H101" s="8" t="n"/>
      <c r="I101" s="11" t="n"/>
    </row>
    <row r="102" ht="15.75" customHeight="1" s="14">
      <c r="A102" s="6" t="n">
        <v>108</v>
      </c>
      <c r="B102" s="8" t="inlineStr">
        <is>
          <t>毀滅</t>
        </is>
      </c>
      <c r="C102" s="6" t="n">
        <v>2</v>
      </c>
      <c r="D102" s="6" t="inlineStr">
        <is>
          <t>7,8</t>
        </is>
      </c>
      <c r="E102" s="8" t="inlineStr">
        <is>
          <t>解離術、地震術</t>
        </is>
      </c>
      <c r="F102" s="10" t="inlineStr">
        <is>
          <t>領域</t>
        </is>
      </c>
      <c r="G102" s="10" t="inlineStr">
        <is>
          <t>破壞</t>
        </is>
      </c>
      <c r="H102" s="8" t="inlineStr">
        <is>
          <t>合併到破壞</t>
        </is>
      </c>
      <c r="I102" s="11" t="inlineStr">
        <is>
          <t>破壞</t>
        </is>
      </c>
    </row>
    <row r="103" ht="15.75" customHeight="1" s="14">
      <c r="A103" s="6" t="n">
        <v>155</v>
      </c>
      <c r="B103" s="8" t="inlineStr">
        <is>
          <t>治療師</t>
        </is>
      </c>
      <c r="C103" s="6" t="n">
        <v>2</v>
      </c>
      <c r="D103" s="6" t="inlineStr">
        <is>
          <t>4,6</t>
        </is>
      </c>
      <c r="E103" s="8" t="inlineStr">
        <is>
          <t>萬靈藥、高等關照術</t>
        </is>
      </c>
      <c r="F103" s="10" t="inlineStr">
        <is>
          <t>職業</t>
        </is>
      </c>
      <c r="G103" s="10" t="inlineStr">
        <is>
          <t>治療師</t>
        </is>
      </c>
      <c r="H103" s="8" t="n"/>
      <c r="I103" s="11" t="n"/>
    </row>
    <row r="104" ht="15.75" customHeight="1" s="14">
      <c r="A104" s="6" t="n">
        <v>31</v>
      </c>
      <c r="B104" s="8" t="inlineStr">
        <is>
          <t>法術領域</t>
        </is>
      </c>
      <c r="C104" s="6" t="n">
        <v>2</v>
      </c>
      <c r="D104" s="6" t="inlineStr">
        <is>
          <t>3,6</t>
        </is>
      </c>
      <c r="E104" s="8" t="inlineStr">
        <is>
          <t>任意法術、高等任意法術</t>
        </is>
      </c>
      <c r="F104" s="10" t="inlineStr">
        <is>
          <t>領域</t>
        </is>
      </c>
      <c r="G104" s="10" t="inlineStr">
        <is>
          <t>法術</t>
        </is>
      </c>
      <c r="H104" s="8" t="n"/>
      <c r="I104" s="11" t="n"/>
    </row>
    <row r="105" ht="15.75" customHeight="1" s="14">
      <c r="A105" s="6" t="n">
        <v>100</v>
      </c>
      <c r="B105" s="8" t="inlineStr">
        <is>
          <t>淨化領域</t>
        </is>
      </c>
      <c r="C105" s="6" t="n">
        <v>2</v>
      </c>
      <c r="D105" s="6" t="inlineStr">
        <is>
          <t>5,7</t>
        </is>
      </c>
      <c r="E105" s="8" t="inlineStr">
        <is>
          <t>獨角獸之舞、信仰之怒</t>
        </is>
      </c>
      <c r="F105" s="10" t="inlineStr">
        <is>
          <t>領域</t>
        </is>
      </c>
      <c r="G105" s="10" t="inlineStr">
        <is>
          <t>淨化</t>
        </is>
      </c>
      <c r="H105" s="8" t="n"/>
      <c r="I105" s="11" t="n"/>
    </row>
    <row r="106" ht="15.75" customHeight="1" s="14">
      <c r="A106" s="6" t="n">
        <v>98</v>
      </c>
      <c r="B106" s="8" t="inlineStr">
        <is>
          <t>疫病</t>
        </is>
      </c>
      <c r="C106" s="6" t="n">
        <v>2</v>
      </c>
      <c r="D106" s="6" t="inlineStr">
        <is>
          <t>5,6</t>
        </is>
      </c>
      <c r="E106" s="8" t="inlineStr">
        <is>
          <t>獸化詛咒、鼠疫之災</t>
        </is>
      </c>
      <c r="F106" s="10" t="inlineStr">
        <is>
          <t>領域</t>
        </is>
      </c>
      <c r="G106" s="10" t="inlineStr">
        <is>
          <t>疫病</t>
        </is>
      </c>
      <c r="H106" s="8" t="n"/>
      <c r="I106" s="11" t="n"/>
    </row>
    <row r="107" ht="15.75" customHeight="1" s="14">
      <c r="A107" s="6" t="n">
        <v>107</v>
      </c>
      <c r="B107" s="8" t="inlineStr">
        <is>
          <t>筵席</t>
        </is>
      </c>
      <c r="C107" s="6" t="n">
        <v>2</v>
      </c>
      <c r="D107" s="6" t="inlineStr">
        <is>
          <t>8,9</t>
        </is>
      </c>
      <c r="E107" s="8" t="inlineStr">
        <is>
          <t>解毒術、救世宴</t>
        </is>
      </c>
      <c r="F107" s="10" t="inlineStr">
        <is>
          <t>領域</t>
        </is>
      </c>
      <c r="G107" s="10" t="inlineStr">
        <is>
          <t>筵席</t>
        </is>
      </c>
      <c r="H107" s="8" t="n"/>
      <c r="I107" s="11" t="n"/>
    </row>
    <row r="108" ht="15.75" customHeight="1" s="14">
      <c r="A108" s="6" t="n">
        <v>163</v>
      </c>
      <c r="B108" s="8" t="inlineStr">
        <is>
          <t>腐敗</t>
        </is>
      </c>
      <c r="C108" s="6" t="n">
        <v>2</v>
      </c>
      <c r="D108" s="6" t="inlineStr">
        <is>
          <t>6,7</t>
        </is>
      </c>
      <c r="E108" s="8" t="inlineStr">
        <is>
          <t>瘟疫、枯萎之手</t>
        </is>
      </c>
      <c r="F108" s="10" t="inlineStr">
        <is>
          <t>領域</t>
        </is>
      </c>
      <c r="G108" s="10" t="inlineStr">
        <is>
          <t>腐敗</t>
        </is>
      </c>
      <c r="H108" s="8" t="n"/>
      <c r="I108" s="11" t="n"/>
    </row>
    <row r="109" ht="15.75" customHeight="1" s="14">
      <c r="A109" s="6" t="n">
        <v>184</v>
      </c>
      <c r="B109" s="8" t="inlineStr">
        <is>
          <t>蜘蛛</t>
        </is>
      </c>
      <c r="C109" s="6" t="n">
        <v>2</v>
      </c>
      <c r="D109" s="6" t="inlineStr">
        <is>
          <t>6,7</t>
        </is>
      </c>
      <c r="E109" s="8" t="inlineStr">
        <is>
          <t>蜘蛛詛咒、石蜘蛛</t>
        </is>
      </c>
      <c r="F109" s="10" t="inlineStr">
        <is>
          <t>領域</t>
        </is>
      </c>
      <c r="G109" s="10" t="inlineStr">
        <is>
          <t>蜘蛛</t>
        </is>
      </c>
      <c r="H109" s="8" t="n"/>
      <c r="I109" s="11" t="n"/>
    </row>
    <row r="110" ht="15.75" customHeight="1" s="14">
      <c r="A110" s="6" t="n">
        <v>135</v>
      </c>
      <c r="B110" s="8" t="inlineStr">
        <is>
          <t>術士/法術</t>
        </is>
      </c>
      <c r="C110" s="6" t="n">
        <v>2</v>
      </c>
      <c r="D110" s="6" t="inlineStr">
        <is>
          <t>1</t>
        </is>
      </c>
      <c r="E110" s="8" t="inlineStr">
        <is>
          <t>定位水體、掠奪光環</t>
        </is>
      </c>
      <c r="F110" s="10" t="inlineStr">
        <is>
          <t>職業</t>
        </is>
      </c>
      <c r="G110" s="10" t="inlineStr">
        <is>
          <t>術士；法師</t>
        </is>
      </c>
      <c r="H110" s="8" t="inlineStr">
        <is>
          <t>拆成術士與法師兩個職業</t>
        </is>
      </c>
      <c r="I110" s="11" t="n"/>
    </row>
    <row r="111" ht="15.75" customHeight="1" s="14">
      <c r="A111" s="6" t="n">
        <v>83</v>
      </c>
      <c r="B111" s="8" t="inlineStr">
        <is>
          <t>貪婪</t>
        </is>
      </c>
      <c r="C111" s="6" t="n">
        <v>2</v>
      </c>
      <c r="D111" s="6" t="inlineStr">
        <is>
          <t>1,2</t>
        </is>
      </c>
      <c r="E111" s="8" t="inlineStr">
        <is>
          <t>作弊、誘騙的禮物</t>
        </is>
      </c>
      <c r="F111" s="10" t="inlineStr">
        <is>
          <t>領域</t>
        </is>
      </c>
      <c r="G111" s="10" t="inlineStr">
        <is>
          <t>貪婪</t>
        </is>
      </c>
      <c r="H111" s="8" t="n"/>
      <c r="I111" s="11" t="n"/>
    </row>
    <row r="112" ht="15.75" customHeight="1" s="14">
      <c r="A112" s="6" t="n">
        <v>119</v>
      </c>
      <c r="B112" s="8" t="inlineStr">
        <is>
          <t>侏儒</t>
        </is>
      </c>
      <c r="C112" s="6" t="n">
        <v>1</v>
      </c>
      <c r="D112" s="6" t="inlineStr">
        <is>
          <t>6</t>
        </is>
      </c>
      <c r="E112" s="8" t="inlineStr">
        <is>
          <t>神奇機械</t>
        </is>
      </c>
      <c r="F112" s="10" t="inlineStr">
        <is>
          <t>領域</t>
        </is>
      </c>
      <c r="G112" s="10" t="inlineStr">
        <is>
          <t>侏儒</t>
        </is>
      </c>
      <c r="H112" s="8" t="n"/>
      <c r="I112" s="11" t="n"/>
    </row>
    <row r="113" ht="15.75" customHeight="1" s="14">
      <c r="A113" s="6" t="n">
        <v>167</v>
      </c>
      <c r="B113" s="8" t="inlineStr">
        <is>
          <t>保護領域</t>
        </is>
      </c>
      <c r="C113" s="6" t="n">
        <v>1</v>
      </c>
      <c r="D113" s="6" t="inlineStr">
        <is>
          <t>3</t>
        </is>
      </c>
      <c r="E113" s="8" t="inlineStr">
        <is>
          <t>防護能量傷害</t>
        </is>
      </c>
      <c r="F113" s="10" t="inlineStr">
        <is>
          <t>領域</t>
        </is>
      </c>
      <c r="G113" s="10" t="inlineStr">
        <is>
          <t>保護</t>
        </is>
      </c>
      <c r="H113" s="8" t="n"/>
      <c r="I113" s="11" t="n"/>
    </row>
    <row r="114" ht="15.75" customHeight="1" s="14">
      <c r="A114" s="6" t="n">
        <v>21</v>
      </c>
      <c r="B114" s="8" t="inlineStr">
        <is>
          <t>傳送</t>
        </is>
      </c>
      <c r="C114" s="6" t="n">
        <v>1</v>
      </c>
      <c r="D114" s="6" t="inlineStr">
        <is>
          <t>2</t>
        </is>
      </c>
      <c r="E114" s="8" t="inlineStr">
        <is>
          <t>分析傳送門</t>
        </is>
      </c>
      <c r="F114" s="10" t="inlineStr">
        <is>
          <t>領域</t>
        </is>
      </c>
      <c r="G114" s="10" t="inlineStr">
        <is>
          <t>傳送</t>
        </is>
      </c>
      <c r="H114" s="8" t="n"/>
      <c r="I114" s="11" t="n"/>
    </row>
    <row r="115" ht="15.75" customHeight="1" s="14">
      <c r="A115" s="6" t="n">
        <v>193</v>
      </c>
      <c r="B115" s="8" t="inlineStr">
        <is>
          <t>創造</t>
        </is>
      </c>
      <c r="C115" s="6" t="n">
        <v>1</v>
      </c>
      <c r="D115" s="6" t="inlineStr">
        <is>
          <t>8</t>
        </is>
      </c>
      <c r="E115" s="8" t="inlineStr">
        <is>
          <t>真實造物術</t>
        </is>
      </c>
      <c r="F115" s="10" t="inlineStr">
        <is>
          <t>領域</t>
        </is>
      </c>
      <c r="G115" s="10" t="inlineStr">
        <is>
          <t>造物</t>
        </is>
      </c>
      <c r="H115" s="8" t="inlineStr">
        <is>
          <t>合併了創造</t>
        </is>
      </c>
      <c r="I115" s="11" t="n"/>
    </row>
    <row r="116" ht="15.75" customHeight="1" s="14">
      <c r="A116" s="6" t="n">
        <v>56</v>
      </c>
      <c r="B116" s="8" t="inlineStr">
        <is>
          <t>力</t>
        </is>
      </c>
      <c r="C116" s="6" t="n">
        <v>1</v>
      </c>
      <c r="D116" s="6" t="inlineStr">
        <is>
          <t>3</t>
        </is>
      </c>
      <c r="E116" s="8" t="inlineStr">
        <is>
          <t>力場衝擊</t>
        </is>
      </c>
      <c r="F116" s="10" t="inlineStr">
        <is>
          <t>領域</t>
        </is>
      </c>
      <c r="G116" s="10" t="inlineStr">
        <is>
          <t>力量</t>
        </is>
      </c>
      <c r="H116" s="8" t="inlineStr">
        <is>
          <t>合併到力量</t>
        </is>
      </c>
      <c r="I116" s="11" t="n"/>
    </row>
    <row r="117" ht="15.75" customHeight="1" s="14">
      <c r="A117" s="6" t="n">
        <v>186</v>
      </c>
      <c r="B117" s="8" t="inlineStr">
        <is>
          <t>卓爾領域</t>
        </is>
      </c>
      <c r="C117" s="6" t="n">
        <v>1</v>
      </c>
      <c r="D117" s="6" t="inlineStr">
        <is>
          <t>5</t>
        </is>
      </c>
      <c r="E117" s="8" t="inlineStr">
        <is>
          <t>蛛化術</t>
        </is>
      </c>
      <c r="F117" s="10" t="inlineStr">
        <is>
          <t>領域</t>
        </is>
      </c>
      <c r="G117" s="10" t="inlineStr">
        <is>
          <t>卓爾</t>
        </is>
      </c>
      <c r="H117" s="8" t="n"/>
      <c r="I117" s="11" t="n"/>
    </row>
    <row r="118" ht="15.75" customHeight="1" s="14">
      <c r="A118" s="6" t="n">
        <v>153</v>
      </c>
      <c r="B118" s="8" t="inlineStr">
        <is>
          <t>原野領域 Arborea</t>
        </is>
      </c>
      <c r="C118" s="6" t="n">
        <v>1</v>
      </c>
      <c r="D118" s="6" t="inlineStr">
        <is>
          <t>4</t>
        </is>
      </c>
      <c r="E118" s="8" t="inlineStr">
        <is>
          <t>天國凝視</t>
        </is>
      </c>
      <c r="F118" s="10" t="inlineStr">
        <is>
          <t>領域</t>
        </is>
      </c>
      <c r="G118" s="10" t="inlineStr">
        <is>
          <t>原野</t>
        </is>
      </c>
      <c r="H118" s="8" t="inlineStr">
        <is>
          <t>位面領域（Arborea）</t>
        </is>
      </c>
      <c r="I118" s="11" t="n"/>
    </row>
    <row r="119" ht="15.75" customHeight="1" s="14">
      <c r="A119" s="6" t="n">
        <v>149</v>
      </c>
      <c r="B119" s="8" t="inlineStr">
        <is>
          <t>吟 游 詩 人</t>
        </is>
      </c>
      <c r="C119" s="6" t="n">
        <v>1</v>
      </c>
      <c r="D119" s="6" t="inlineStr">
        <is>
          <t>3</t>
        </is>
      </c>
      <c r="E119" s="8" t="inlineStr">
        <is>
          <t>噩夢地形</t>
        </is>
      </c>
      <c r="F119" s="10" t="inlineStr">
        <is>
          <t>職業</t>
        </is>
      </c>
      <c r="G119" s="10" t="inlineStr">
        <is>
          <t>吟遊詩人</t>
        </is>
      </c>
      <c r="H119" s="8" t="inlineStr">
        <is>
          <t>清理空格或括號後對應</t>
        </is>
      </c>
      <c r="I119" s="11" t="n"/>
    </row>
    <row r="120" ht="15.75" customHeight="1" s="14">
      <c r="A120" s="12" t="n">
        <v>106</v>
      </c>
      <c r="B120" s="13" t="inlineStr">
        <is>
          <t>吟游詩人 4 術士/法師</t>
        </is>
      </c>
      <c r="C120" s="12" t="n">
        <v>1</v>
      </c>
      <c r="D120" s="12" t="inlineStr">
        <is>
          <t>4</t>
        </is>
      </c>
      <c r="E120" s="13" t="inlineStr">
        <is>
          <t>偵測探知</t>
        </is>
      </c>
      <c r="F120" s="10" t="inlineStr">
        <is>
          <t>等級修正</t>
        </is>
      </c>
      <c r="G120" s="10" t="n"/>
      <c r="H120" s="13" t="inlineStr">
        <is>
          <t>職業與等級黏在一起或含其他版本資料，見「等級修正」工作表</t>
        </is>
      </c>
      <c r="I120" s="11" t="n"/>
    </row>
    <row r="121" ht="15.75" customHeight="1" s="14">
      <c r="A121" s="6" t="n">
        <v>202</v>
      </c>
      <c r="B121" s="8" t="inlineStr">
        <is>
          <t>哈格維夫鬥士</t>
        </is>
      </c>
      <c r="C121" s="6" t="n">
        <v>1</v>
      </c>
      <c r="D121" s="6" t="inlineStr">
        <is>
          <t>2</t>
        </is>
      </c>
      <c r="E121" s="8" t="inlineStr">
        <is>
          <t>戰嚎</t>
        </is>
      </c>
      <c r="F121" s="10" t="inlineStr">
        <is>
          <t>職業</t>
        </is>
      </c>
      <c r="G121" s="10" t="inlineStr">
        <is>
          <t>格溫哈威夫鬥士</t>
        </is>
      </c>
      <c r="H121" s="8" t="n"/>
      <c r="I121" s="11" t="n"/>
    </row>
    <row r="122" ht="15.75" customHeight="1" s="14">
      <c r="A122" s="6" t="n">
        <v>138</v>
      </c>
      <c r="B122" s="8" t="inlineStr">
        <is>
          <t>土領域</t>
        </is>
      </c>
      <c r="C122" s="6" t="n">
        <v>1</v>
      </c>
      <c r="D122" s="6" t="inlineStr">
        <is>
          <t>1</t>
        </is>
      </c>
      <c r="E122" s="8" t="inlineStr">
        <is>
          <t>魔石術</t>
        </is>
      </c>
      <c r="F122" s="10" t="inlineStr">
        <is>
          <t>領域</t>
        </is>
      </c>
      <c r="G122" s="10" t="inlineStr">
        <is>
          <t>土</t>
        </is>
      </c>
      <c r="H122" s="8" t="n"/>
      <c r="I122" s="11" t="n"/>
    </row>
    <row r="123" ht="15.75" customHeight="1" s="14">
      <c r="A123" s="6" t="n">
        <v>177</v>
      </c>
      <c r="B123" s="8" t="inlineStr">
        <is>
          <t>城市領域</t>
        </is>
      </c>
      <c r="C123" s="6" t="n">
        <v>1</v>
      </c>
      <c r="D123" s="6" t="inlineStr">
        <is>
          <t>1</t>
        </is>
      </c>
      <c r="E123" s="8" t="inlineStr">
        <is>
          <t>躍步樓頂</t>
        </is>
      </c>
      <c r="F123" s="10" t="inlineStr">
        <is>
          <t>領域</t>
        </is>
      </c>
      <c r="G123" s="10" t="inlineStr">
        <is>
          <t>城市</t>
        </is>
      </c>
      <c r="H123" s="8" t="n"/>
      <c r="I123" s="11" t="n"/>
    </row>
    <row r="124" ht="15.75" customHeight="1" s="14">
      <c r="A124" s="6" t="n">
        <v>198</v>
      </c>
      <c r="B124" s="8" t="inlineStr">
        <is>
          <t>多米尼爾的屠戮者</t>
        </is>
      </c>
      <c r="C124" s="6" t="n">
        <v>1</v>
      </c>
      <c r="D124" s="6" t="inlineStr">
        <is>
          <t>1</t>
        </is>
      </c>
      <c r="E124" s="8" t="inlineStr">
        <is>
          <t>天庭幻景</t>
        </is>
      </c>
      <c r="F124" s="10" t="inlineStr">
        <is>
          <t>職業</t>
        </is>
      </c>
      <c r="G124" s="10" t="inlineStr">
        <is>
          <t>多米艾爾的屠戮者</t>
        </is>
      </c>
      <c r="H124" s="8" t="n"/>
      <c r="I124" s="11" t="n"/>
    </row>
    <row r="125" ht="15.75" customHeight="1" s="14">
      <c r="A125" s="6" t="n">
        <v>190</v>
      </c>
      <c r="B125" s="8" t="inlineStr">
        <is>
          <t>多米艾爾的屠戮者</t>
        </is>
      </c>
      <c r="C125" s="6" t="n">
        <v>1</v>
      </c>
      <c r="D125" s="6" t="inlineStr">
        <is>
          <t>4</t>
        </is>
      </c>
      <c r="E125" s="8" t="inlineStr">
        <is>
          <t>良知之劍</t>
        </is>
      </c>
      <c r="F125" s="10" t="inlineStr">
        <is>
          <t>職業</t>
        </is>
      </c>
      <c r="G125" s="10" t="inlineStr">
        <is>
          <t>多米艾爾的屠戮者</t>
        </is>
      </c>
      <c r="H125" s="8" t="n"/>
      <c r="I125" s="11" t="n"/>
    </row>
    <row r="126" ht="15.75" customHeight="1" s="14">
      <c r="A126" s="6" t="n">
        <v>60</v>
      </c>
      <c r="B126" s="8" t="inlineStr">
        <is>
          <t>多米艾爾的屠戮者（Slayer Of Domiel）</t>
        </is>
      </c>
      <c r="C126" s="6" t="n">
        <v>1</v>
      </c>
      <c r="D126" s="6" t="inlineStr">
        <is>
          <t>3</t>
        </is>
      </c>
      <c r="E126" s="8" t="inlineStr">
        <is>
          <t>祝福之視</t>
        </is>
      </c>
      <c r="F126" s="10" t="inlineStr">
        <is>
          <t>職業</t>
        </is>
      </c>
      <c r="G126" s="10" t="inlineStr">
        <is>
          <t>多米艾爾的屠戮者</t>
        </is>
      </c>
      <c r="H126" s="8" t="inlineStr">
        <is>
          <t>清理空格或括號後對應</t>
        </is>
      </c>
      <c r="I126" s="11" t="n"/>
    </row>
    <row r="127" ht="15.75" customHeight="1" s="14">
      <c r="A127" s="6" t="n">
        <v>110</v>
      </c>
      <c r="B127" s="8" t="inlineStr">
        <is>
          <t>夢境領域</t>
        </is>
      </c>
      <c r="C127" s="6" t="n">
        <v>1</v>
      </c>
      <c r="D127" s="6" t="inlineStr">
        <is>
          <t>6</t>
        </is>
      </c>
      <c r="E127" s="8" t="inlineStr">
        <is>
          <t>夢境視野</t>
        </is>
      </c>
      <c r="F127" s="10" t="inlineStr">
        <is>
          <t>領域</t>
        </is>
      </c>
      <c r="G127" s="10" t="inlineStr">
        <is>
          <t>夢境</t>
        </is>
      </c>
      <c r="H127" s="8" t="n"/>
      <c r="I127" s="11" t="n"/>
    </row>
    <row r="128" ht="15.75" customHeight="1" s="14">
      <c r="A128" s="6" t="n">
        <v>59</v>
      </c>
      <c r="B128" s="8" t="inlineStr">
        <is>
          <t>天 族</t>
        </is>
      </c>
      <c r="C128" s="6" t="n">
        <v>1</v>
      </c>
      <c r="D128" s="6" t="inlineStr">
        <is>
          <t>3</t>
        </is>
      </c>
      <c r="E128" s="8" t="inlineStr">
        <is>
          <t>祝福之視</t>
        </is>
      </c>
      <c r="F128" s="10" t="inlineStr">
        <is>
          <t>領域</t>
        </is>
      </c>
      <c r="G128" s="10" t="inlineStr">
        <is>
          <t>天族</t>
        </is>
      </c>
      <c r="H128" s="8" t="inlineStr">
        <is>
          <t>位面領域</t>
        </is>
      </c>
      <c r="I128" s="11" t="n"/>
    </row>
    <row r="129" ht="15.75" customHeight="1" s="14">
      <c r="A129" s="6" t="n">
        <v>134</v>
      </c>
      <c r="B129" s="8" t="inlineStr">
        <is>
          <t>天界騎士（Celestia）</t>
        </is>
      </c>
      <c r="C129" s="6" t="n">
        <v>1</v>
      </c>
      <c r="D129" s="6" t="inlineStr">
        <is>
          <t>1</t>
        </is>
      </c>
      <c r="E129" s="8" t="inlineStr">
        <is>
          <t>路尼亞之光</t>
        </is>
      </c>
      <c r="F129" s="10" t="inlineStr">
        <is>
          <t>職業</t>
        </is>
      </c>
      <c r="G129" s="10" t="inlineStr">
        <is>
          <t>天界騎士</t>
        </is>
      </c>
      <c r="H129" s="8" t="inlineStr">
        <is>
          <t>清理空格或括號後對應</t>
        </is>
      </c>
      <c r="I129" s="11" t="n"/>
    </row>
    <row r="130" ht="15.75" customHeight="1" s="14">
      <c r="A130" s="6" t="n">
        <v>101</v>
      </c>
      <c r="B130" s="8" t="inlineStr">
        <is>
          <t>契約</t>
        </is>
      </c>
      <c r="C130" s="6" t="n">
        <v>1</v>
      </c>
      <c r="D130" s="6" t="inlineStr">
        <is>
          <t>8</t>
        </is>
      </c>
      <c r="E130" s="8" t="inlineStr">
        <is>
          <t>死亡契約</t>
        </is>
      </c>
      <c r="F130" s="10" t="inlineStr">
        <is>
          <t>領域</t>
        </is>
      </c>
      <c r="G130" s="10" t="inlineStr">
        <is>
          <t>契約</t>
        </is>
      </c>
      <c r="H130" s="8" t="n"/>
      <c r="I130" s="11" t="n"/>
    </row>
    <row r="131" ht="15.75" customHeight="1" s="14">
      <c r="A131" s="6" t="n">
        <v>207</v>
      </c>
      <c r="B131" s="8" t="inlineStr">
        <is>
          <t>契約領域</t>
        </is>
      </c>
      <c r="C131" s="6" t="n">
        <v>1</v>
      </c>
      <c r="D131" s="6" t="inlineStr">
        <is>
          <t>6</t>
        </is>
      </c>
      <c r="E131" s="8" t="inlineStr">
        <is>
          <t>狂熱誓言</t>
        </is>
      </c>
      <c r="F131" s="10" t="inlineStr">
        <is>
          <t>領域</t>
        </is>
      </c>
      <c r="G131" s="10" t="inlineStr">
        <is>
          <t>契約</t>
        </is>
      </c>
      <c r="H131" s="8" t="n"/>
      <c r="I131" s="11" t="n"/>
    </row>
    <row r="132" ht="15.75" customHeight="1" s="14">
      <c r="A132" s="12" t="n">
        <v>144</v>
      </c>
      <c r="B132" s="13" t="inlineStr">
        <is>
          <t>好人書為聖武士</t>
        </is>
      </c>
      <c r="C132" s="12" t="n">
        <v>1</v>
      </c>
      <c r="D132" s="12" t="inlineStr">
        <is>
          <t>2</t>
        </is>
      </c>
      <c r="E132" s="13" t="inlineStr">
        <is>
          <t>清心之刻</t>
        </is>
      </c>
      <c r="F132" s="10" t="inlineStr">
        <is>
          <t>等級修正</t>
        </is>
      </c>
      <c r="G132" s="10" t="n"/>
      <c r="H132" s="13" t="inlineStr">
        <is>
          <t>職業與等級黏在一起或含其他版本資料，見「等級修正」工作表</t>
        </is>
      </c>
      <c r="I132" s="11" t="n"/>
    </row>
    <row r="133" ht="15.75" customHeight="1" s="14">
      <c r="A133" s="6" t="n">
        <v>122</v>
      </c>
      <c r="B133" s="8" t="inlineStr">
        <is>
          <t>守護領域</t>
        </is>
      </c>
      <c r="C133" s="6" t="n">
        <v>1</v>
      </c>
      <c r="D133" s="6" t="inlineStr">
        <is>
          <t>2</t>
        </is>
      </c>
      <c r="E133" s="8" t="inlineStr">
        <is>
          <t>寶石炸彈</t>
        </is>
      </c>
      <c r="F133" s="10" t="inlineStr">
        <is>
          <t>領域</t>
        </is>
      </c>
      <c r="G133" s="10" t="inlineStr">
        <is>
          <t>守護</t>
        </is>
      </c>
      <c r="H133" s="8" t="n"/>
      <c r="I133" s="11" t="n"/>
    </row>
    <row r="134" ht="15.75" customHeight="1" s="14">
      <c r="A134" s="12" t="n">
        <v>73</v>
      </c>
      <c r="B134" s="13" t="inlineStr">
        <is>
          <t>完美奧術：牧師</t>
        </is>
      </c>
      <c r="C134" s="12" t="n">
        <v>1</v>
      </c>
      <c r="D134" s="12" t="inlineStr">
        <is>
          <t>8</t>
        </is>
      </c>
      <c r="E134" s="13" t="inlineStr">
        <is>
          <t>耀光之刃</t>
        </is>
      </c>
      <c r="F134" s="10" t="inlineStr">
        <is>
          <t>等級修正</t>
        </is>
      </c>
      <c r="G134" s="10" t="n"/>
      <c r="H134" s="13" t="inlineStr">
        <is>
          <t>職業與等級黏在一起或含其他版本資料，見「等級修正」工作表</t>
        </is>
      </c>
      <c r="I134" s="11" t="n"/>
    </row>
    <row r="135" ht="15.75" customHeight="1" s="14">
      <c r="A135" s="6" t="n">
        <v>150</v>
      </c>
      <c r="B135" s="8" t="inlineStr">
        <is>
          <t>寒冷</t>
        </is>
      </c>
      <c r="C135" s="6" t="n">
        <v>1</v>
      </c>
      <c r="D135" s="6" t="inlineStr">
        <is>
          <t>9</t>
        </is>
      </c>
      <c r="E135" s="8" t="inlineStr">
        <is>
          <t>雪崩術</t>
        </is>
      </c>
      <c r="F135" s="10" t="inlineStr">
        <is>
          <t>領域</t>
        </is>
      </c>
      <c r="G135" s="10" t="inlineStr">
        <is>
          <t>隆冬</t>
        </is>
      </c>
      <c r="H135" s="8" t="inlineStr">
        <is>
          <t>合併到隆冬</t>
        </is>
      </c>
      <c r="I135" s="11" t="n"/>
    </row>
    <row r="136" ht="15.75" customHeight="1" s="14">
      <c r="A136" s="6" t="n">
        <v>143</v>
      </c>
      <c r="B136" s="8" t="inlineStr">
        <is>
          <t>岩穴</t>
        </is>
      </c>
      <c r="C136" s="6" t="n">
        <v>1</v>
      </c>
      <c r="D136" s="6" t="inlineStr">
        <is>
          <t>7</t>
        </is>
      </c>
      <c r="E136" s="8" t="inlineStr">
        <is>
          <t>石洞術</t>
        </is>
      </c>
      <c r="F136" s="10" t="inlineStr">
        <is>
          <t>領域</t>
        </is>
      </c>
      <c r="G136" s="10" t="inlineStr">
        <is>
          <t>岩穴</t>
        </is>
      </c>
      <c r="H136" s="8" t="n"/>
      <c r="I136" s="11" t="n"/>
    </row>
    <row r="137" ht="15.75" customHeight="1" s="14">
      <c r="A137" s="6" t="n">
        <v>171</v>
      </c>
      <c r="B137" s="8" t="inlineStr">
        <is>
          <t>巴哈姆特封臣</t>
        </is>
      </c>
      <c r="C137" s="6" t="n">
        <v>1</v>
      </c>
      <c r="D137" s="6" t="inlineStr">
        <is>
          <t>3</t>
        </is>
      </c>
      <c r="E137" s="8" t="inlineStr">
        <is>
          <t>精力重振</t>
        </is>
      </c>
      <c r="F137" s="10" t="inlineStr">
        <is>
          <t>職業</t>
        </is>
      </c>
      <c r="G137" s="10" t="inlineStr">
        <is>
          <t>巴哈姆特封臣</t>
        </is>
      </c>
      <c r="H137" s="8" t="n"/>
      <c r="I137" s="11" t="n"/>
    </row>
    <row r="138" ht="15.75" customHeight="1" s="14">
      <c r="A138" s="6" t="n">
        <v>133</v>
      </c>
      <c r="B138" s="8" t="inlineStr">
        <is>
          <t>巴哈姆特封臣（Vassal Of Bahamut)</t>
        </is>
      </c>
      <c r="C138" s="6" t="n">
        <v>1</v>
      </c>
      <c r="D138" s="6" t="inlineStr">
        <is>
          <t>1</t>
        </is>
      </c>
      <c r="E138" s="8" t="inlineStr">
        <is>
          <t>蓄髮明光</t>
        </is>
      </c>
      <c r="F138" s="10" t="inlineStr">
        <is>
          <t>職業</t>
        </is>
      </c>
      <c r="G138" s="10" t="inlineStr">
        <is>
          <t>巴哈姆特封臣</t>
        </is>
      </c>
      <c r="H138" s="8" t="inlineStr">
        <is>
          <t>清理空格或括號後對應</t>
        </is>
      </c>
      <c r="I138" s="11" t="n"/>
    </row>
    <row r="139" ht="15.75" customHeight="1" s="14">
      <c r="A139" s="6" t="n">
        <v>113</v>
      </c>
      <c r="B139" s="8" t="inlineStr">
        <is>
          <t>巴拉契艾爾的密使 emissary of Barachiel</t>
        </is>
      </c>
      <c r="C139" s="6" t="n">
        <v>1</v>
      </c>
      <c r="D139" s="6" t="inlineStr">
        <is>
          <t>2</t>
        </is>
      </c>
      <c r="E139" s="8" t="inlineStr">
        <is>
          <t>歡欣滿載</t>
        </is>
      </c>
      <c r="F139" s="10" t="inlineStr">
        <is>
          <t>職業</t>
        </is>
      </c>
      <c r="G139" s="10" t="inlineStr">
        <is>
          <t>巴拉契艾爾的密使</t>
        </is>
      </c>
      <c r="H139" s="8" t="inlineStr">
        <is>
          <t>清理空格或括號後對應</t>
        </is>
      </c>
      <c r="I139" s="11" t="n"/>
    </row>
    <row r="140" ht="15.75" customHeight="1" s="14">
      <c r="A140" s="6" t="n">
        <v>205</v>
      </c>
      <c r="B140" s="8" t="inlineStr">
        <is>
          <t>平衡（Balance ）</t>
        </is>
      </c>
      <c r="C140" s="6" t="n">
        <v>1</v>
      </c>
      <c r="D140" s="6" t="inlineStr">
        <is>
          <t>7</t>
        </is>
      </c>
      <c r="E140" s="8" t="inlineStr">
        <is>
          <t>制衡之語</t>
        </is>
      </c>
      <c r="F140" s="10" t="inlineStr">
        <is>
          <t>領域</t>
        </is>
      </c>
      <c r="G140" s="10" t="inlineStr">
        <is>
          <t>平衡</t>
        </is>
      </c>
      <c r="H140" s="8" t="n"/>
      <c r="I140" s="11" t="n"/>
    </row>
    <row r="141" ht="15.75" customHeight="1" s="14">
      <c r="A141" s="6" t="n">
        <v>204</v>
      </c>
      <c r="B141" s="8" t="inlineStr">
        <is>
          <t>平衡（Balance）</t>
        </is>
      </c>
      <c r="C141" s="6" t="n">
        <v>1</v>
      </c>
      <c r="D141" s="6" t="inlineStr">
        <is>
          <t>9</t>
        </is>
      </c>
      <c r="E141" s="8" t="inlineStr">
        <is>
          <t>平衡考量</t>
        </is>
      </c>
      <c r="F141" s="10" t="inlineStr">
        <is>
          <t>領域</t>
        </is>
      </c>
      <c r="G141" s="10" t="inlineStr">
        <is>
          <t>平衡</t>
        </is>
      </c>
      <c r="H141" s="8" t="n"/>
      <c r="I141" s="11" t="n"/>
    </row>
    <row r="142" ht="15.75" customHeight="1" s="14">
      <c r="A142" s="6" t="n">
        <v>201</v>
      </c>
      <c r="B142" s="8" t="inlineStr">
        <is>
          <t>德 魯 伊</t>
        </is>
      </c>
      <c r="C142" s="6" t="n">
        <v>1</v>
      </c>
      <c r="D142" s="6" t="inlineStr">
        <is>
          <t>4</t>
        </is>
      </c>
      <c r="E142" s="8" t="inlineStr">
        <is>
          <t>沙牆術</t>
        </is>
      </c>
      <c r="F142" s="10" t="inlineStr">
        <is>
          <t>職業</t>
        </is>
      </c>
      <c r="G142" s="10" t="inlineStr">
        <is>
          <t>德魯伊</t>
        </is>
      </c>
      <c r="H142" s="8" t="inlineStr">
        <is>
          <t>清理空格或括號後對應</t>
        </is>
      </c>
      <c r="I142" s="11" t="n"/>
    </row>
    <row r="143" ht="15.75" customHeight="1" s="14">
      <c r="A143" s="12" t="n">
        <v>203</v>
      </c>
      <c r="B143" s="13" t="inlineStr">
        <is>
          <t>德魯伊 7（風暴之書）海洋領域</t>
        </is>
      </c>
      <c r="C143" s="12" t="n">
        <v>1</v>
      </c>
      <c r="D143" s="12" t="inlineStr">
        <is>
          <t>7</t>
        </is>
      </c>
      <c r="E143" s="13" t="inlineStr">
        <is>
          <t>水龍卷</t>
        </is>
      </c>
      <c r="F143" s="10" t="inlineStr">
        <is>
          <t>等級修正</t>
        </is>
      </c>
      <c r="G143" s="10" t="n"/>
      <c r="H143" s="13" t="inlineStr">
        <is>
          <t>職業與等級黏在一起或含其他版本資料，見「等級修正」工作表</t>
        </is>
      </c>
      <c r="I143" s="11" t="n"/>
    </row>
    <row r="144" ht="15.75" customHeight="1" s="14">
      <c r="A144" s="12" t="n">
        <v>115</v>
      </c>
      <c r="B144" s="13" t="inlineStr">
        <is>
          <t>德魯依 3（完美神力牧師</t>
        </is>
      </c>
      <c r="C144" s="12" t="n">
        <v>1</v>
      </c>
      <c r="D144" s="12" t="inlineStr">
        <is>
          <t>4</t>
        </is>
      </c>
      <c r="E144" s="13" t="inlineStr">
        <is>
          <t>能量旋渦</t>
        </is>
      </c>
      <c r="F144" s="10" t="inlineStr">
        <is>
          <t>等級修正</t>
        </is>
      </c>
      <c r="G144" s="10" t="n"/>
      <c r="H144" s="13" t="inlineStr">
        <is>
          <t>職業與等級黏在一起或含其他版本資料，見「等級修正」工作表</t>
        </is>
      </c>
      <c r="I144" s="11" t="n"/>
    </row>
    <row r="145" ht="15.75" customHeight="1" s="14">
      <c r="A145" s="6" t="n">
        <v>71</v>
      </c>
      <c r="B145" s="8" t="inlineStr">
        <is>
          <t>心智</t>
        </is>
      </c>
      <c r="C145" s="6" t="n">
        <v>1</v>
      </c>
      <c r="D145" s="6" t="inlineStr">
        <is>
          <t>7</t>
        </is>
      </c>
      <c r="E145" s="8" t="inlineStr">
        <is>
          <t>心智蜘蛛</t>
        </is>
      </c>
      <c r="F145" s="10" t="inlineStr">
        <is>
          <t>領域</t>
        </is>
      </c>
      <c r="G145" s="10" t="inlineStr">
        <is>
          <t>心靈</t>
        </is>
      </c>
      <c r="H145" s="8" t="inlineStr">
        <is>
          <t>合併到心靈</t>
        </is>
      </c>
      <c r="I145" s="11" t="n"/>
    </row>
    <row r="146" ht="15.75" customHeight="1" s="14">
      <c r="A146" s="6" t="n">
        <v>176</v>
      </c>
      <c r="B146" s="8" t="inlineStr">
        <is>
          <t>憤怒</t>
        </is>
      </c>
      <c r="C146" s="6" t="n">
        <v>1</v>
      </c>
      <c r="D146" s="6" t="inlineStr">
        <is>
          <t>1</t>
        </is>
      </c>
      <c r="E146" s="8" t="inlineStr">
        <is>
          <t>犀牛之衝撞</t>
        </is>
      </c>
      <c r="F146" s="10" t="inlineStr">
        <is>
          <t>領域</t>
        </is>
      </c>
      <c r="G146" s="10" t="inlineStr">
        <is>
          <t>憤怒</t>
        </is>
      </c>
      <c r="H146" s="8" t="n"/>
      <c r="I146" s="11" t="n"/>
    </row>
    <row r="147" ht="15.75" customHeight="1" s="14">
      <c r="A147" s="6" t="n">
        <v>40</v>
      </c>
      <c r="B147" s="8" t="inlineStr">
        <is>
          <t>控死領域（Deathbound）</t>
        </is>
      </c>
      <c r="C147" s="6" t="n">
        <v>1</v>
      </c>
      <c r="D147" s="6" t="inlineStr">
        <is>
          <t>8</t>
        </is>
      </c>
      <c r="E147" s="8" t="inlineStr">
        <is>
          <t>血管異變</t>
        </is>
      </c>
      <c r="F147" s="10" t="inlineStr">
        <is>
          <t>領域</t>
        </is>
      </c>
      <c r="G147" s="10" t="inlineStr">
        <is>
          <t>控死</t>
        </is>
      </c>
      <c r="H147" s="8" t="n"/>
      <c r="I147" s="11" t="n"/>
    </row>
    <row r="148" ht="15.75" customHeight="1" s="14">
      <c r="A148" s="12" t="n">
        <v>57</v>
      </c>
      <c r="B148" s="13" t="inlineStr">
        <is>
          <t>暗黑衛士 4.牧師</t>
        </is>
      </c>
      <c r="C148" s="12" t="n">
        <v>1</v>
      </c>
      <c r="D148" s="12" t="inlineStr">
        <is>
          <t>5</t>
        </is>
      </c>
      <c r="E148" s="13" t="inlineStr">
        <is>
          <t>血流如注</t>
        </is>
      </c>
      <c r="F148" s="10" t="inlineStr">
        <is>
          <t>等級修正</t>
        </is>
      </c>
      <c r="G148" s="10" t="n"/>
      <c r="H148" s="13" t="inlineStr">
        <is>
          <t>職業與等級黏在一起或含其他版本資料，見「等級修正」工作表</t>
        </is>
      </c>
      <c r="I148" s="11" t="n"/>
    </row>
    <row r="149" ht="15.75" customHeight="1" s="14">
      <c r="A149" s="6" t="n">
        <v>52</v>
      </c>
      <c r="B149" s="8" t="inlineStr">
        <is>
          <t>暴食領域</t>
        </is>
      </c>
      <c r="C149" s="6" t="n">
        <v>1</v>
      </c>
      <c r="D149" s="6" t="inlineStr">
        <is>
          <t>8</t>
        </is>
      </c>
      <c r="E149" s="8" t="inlineStr">
        <is>
          <t>君王之齧</t>
        </is>
      </c>
      <c r="F149" s="10" t="inlineStr">
        <is>
          <t>領域</t>
        </is>
      </c>
      <c r="G149" s="10" t="inlineStr">
        <is>
          <t>暴食</t>
        </is>
      </c>
      <c r="H149" s="8" t="n"/>
      <c r="I149" s="11" t="n"/>
    </row>
    <row r="150" ht="15.75" customHeight="1" s="14">
      <c r="A150" s="6" t="n">
        <v>58</v>
      </c>
      <c r="B150" s="8" t="inlineStr">
        <is>
          <t>格溫哈威夫鬥士（Champion Of Gwynharwyf）</t>
        </is>
      </c>
      <c r="C150" s="6" t="n">
        <v>1</v>
      </c>
      <c r="D150" s="6" t="inlineStr">
        <is>
          <t>3</t>
        </is>
      </c>
      <c r="E150" s="8" t="inlineStr">
        <is>
          <t>祝福之視</t>
        </is>
      </c>
      <c r="F150" s="10" t="inlineStr">
        <is>
          <t>職業</t>
        </is>
      </c>
      <c r="G150" s="10" t="inlineStr">
        <is>
          <t>格溫哈威夫鬥士</t>
        </is>
      </c>
      <c r="H150" s="8" t="inlineStr">
        <is>
          <t>清理空格或括號後對應</t>
        </is>
      </c>
      <c r="I150" s="11" t="n"/>
    </row>
    <row r="151" ht="15.75" customHeight="1" s="14">
      <c r="A151" s="6" t="n">
        <v>161</v>
      </c>
      <c r="B151" s="8" t="inlineStr">
        <is>
          <t>植物領域</t>
        </is>
      </c>
      <c r="C151" s="6" t="n">
        <v>1</v>
      </c>
      <c r="D151" s="6" t="inlineStr">
        <is>
          <t>3</t>
        </is>
      </c>
      <c r="E151" s="8" t="inlineStr">
        <is>
          <t>植物滋長</t>
        </is>
      </c>
      <c r="F151" s="10" t="inlineStr">
        <is>
          <t>領域</t>
        </is>
      </c>
      <c r="G151" s="10" t="inlineStr">
        <is>
          <t>植物</t>
        </is>
      </c>
      <c r="H151" s="8" t="n"/>
      <c r="I151" s="11" t="n"/>
    </row>
    <row r="152" ht="15.75" customHeight="1" s="14">
      <c r="A152" s="6" t="n">
        <v>142</v>
      </c>
      <c r="B152" s="8" t="inlineStr">
        <is>
          <t>極樂</t>
        </is>
      </c>
      <c r="C152" s="6" t="n">
        <v>1</v>
      </c>
      <c r="D152" s="6" t="inlineStr">
        <is>
          <t>3</t>
        </is>
      </c>
      <c r="E152" s="8" t="inlineStr">
        <is>
          <t>善良罩袍</t>
        </is>
      </c>
      <c r="F152" s="10" t="inlineStr">
        <is>
          <t>領域</t>
        </is>
      </c>
      <c r="G152" s="10" t="inlineStr">
        <is>
          <t>極樂</t>
        </is>
      </c>
      <c r="H152" s="8" t="inlineStr">
        <is>
          <t>位面領域（合併了極樂境，待確認）</t>
        </is>
      </c>
      <c r="I152" s="11" t="n"/>
    </row>
    <row r="153" ht="15.75" customHeight="1" s="14">
      <c r="A153" s="6" t="n">
        <v>160</v>
      </c>
      <c r="B153" s="8" t="inlineStr">
        <is>
          <t>極樂境</t>
        </is>
      </c>
      <c r="C153" s="6" t="n">
        <v>1</v>
      </c>
      <c r="D153" s="6" t="inlineStr">
        <is>
          <t>2</t>
        </is>
      </c>
      <c r="E153" s="8" t="inlineStr">
        <is>
          <t>異界抗力</t>
        </is>
      </c>
      <c r="F153" s="10" t="inlineStr">
        <is>
          <t>領域</t>
        </is>
      </c>
      <c r="G153" s="10" t="inlineStr">
        <is>
          <t>極樂</t>
        </is>
      </c>
      <c r="H153" s="8" t="inlineStr">
        <is>
          <t>位面領域（合併了極樂境，待確認）</t>
        </is>
      </c>
      <c r="I153" s="11" t="n"/>
    </row>
    <row r="154" ht="15.75" customHeight="1" s="14">
      <c r="A154" s="6" t="n">
        <v>200</v>
      </c>
      <c r="B154" s="8" t="inlineStr">
        <is>
          <t>機械領域（Mechanus）</t>
        </is>
      </c>
      <c r="C154" s="6" t="n">
        <v>1</v>
      </c>
      <c r="D154" s="6" t="inlineStr">
        <is>
          <t>6</t>
        </is>
      </c>
      <c r="E154" s="8" t="inlineStr">
        <is>
          <t>齒輪之牆</t>
        </is>
      </c>
      <c r="F154" s="10" t="inlineStr">
        <is>
          <t>領域</t>
        </is>
      </c>
      <c r="G154" s="10" t="inlineStr">
        <is>
          <t>機械界</t>
        </is>
      </c>
      <c r="H154" s="8" t="inlineStr">
        <is>
          <t>位面領域</t>
        </is>
      </c>
      <c r="I154" s="11" t="n"/>
    </row>
    <row r="155" ht="15.75" customHeight="1" s="14">
      <c r="A155" s="6" t="n">
        <v>166</v>
      </c>
      <c r="B155" s="8" t="inlineStr">
        <is>
          <t>機運領域</t>
        </is>
      </c>
      <c r="C155" s="6" t="n">
        <v>1</v>
      </c>
      <c r="D155" s="6" t="inlineStr">
        <is>
          <t>3</t>
        </is>
      </c>
      <c r="E155" s="8" t="inlineStr">
        <is>
          <t>防護能量傷害</t>
        </is>
      </c>
      <c r="F155" s="10" t="inlineStr">
        <is>
          <t>領域</t>
        </is>
      </c>
      <c r="G155" s="10" t="inlineStr">
        <is>
          <t>機運</t>
        </is>
      </c>
      <c r="H155" s="8" t="n"/>
      <c r="I155" s="11" t="n"/>
    </row>
    <row r="156" ht="15.75" customHeight="1" s="14">
      <c r="A156" s="6" t="n">
        <v>172</v>
      </c>
      <c r="B156" s="8" t="inlineStr">
        <is>
          <t>歡愉</t>
        </is>
      </c>
      <c r="C156" s="6" t="n">
        <v>1</v>
      </c>
      <c r="D156" s="6" t="inlineStr">
        <is>
          <t>4</t>
        </is>
      </c>
      <c r="E156" s="8" t="inlineStr">
        <is>
          <t>移除疲勞</t>
        </is>
      </c>
      <c r="F156" s="10" t="inlineStr">
        <is>
          <t>領域</t>
        </is>
      </c>
      <c r="G156" s="10" t="inlineStr">
        <is>
          <t>歡娛</t>
        </is>
      </c>
      <c r="H156" s="8" t="inlineStr">
        <is>
          <t>合併了歡愉</t>
        </is>
      </c>
      <c r="I156" s="11" t="n"/>
    </row>
    <row r="157" ht="15.75" customHeight="1" s="14">
      <c r="A157" s="6" t="n">
        <v>97</v>
      </c>
      <c r="B157" s="8" t="inlineStr">
        <is>
          <t>治療</t>
        </is>
      </c>
      <c r="C157" s="6" t="n">
        <v>1</v>
      </c>
      <c r="D157" s="6" t="inlineStr">
        <is>
          <t>2</t>
        </is>
      </c>
      <c r="E157" s="8" t="inlineStr">
        <is>
          <t>治療中度傷</t>
        </is>
      </c>
      <c r="F157" s="10" t="inlineStr">
        <is>
          <t>領域</t>
        </is>
      </c>
      <c r="G157" s="10" t="inlineStr">
        <is>
          <t>醫療</t>
        </is>
      </c>
      <c r="H157" s="8" t="inlineStr">
        <is>
          <t>合併了治療</t>
        </is>
      </c>
      <c r="I157" s="11" t="n"/>
    </row>
    <row r="158" ht="15.75" customHeight="1" s="14">
      <c r="A158" s="6" t="n">
        <v>182</v>
      </c>
      <c r="B158" s="8" t="inlineStr">
        <is>
          <t>法師/法師</t>
        </is>
      </c>
      <c r="C158" s="6" t="n">
        <v>1</v>
      </c>
      <c r="D158" s="6" t="inlineStr">
        <is>
          <t>0</t>
        </is>
      </c>
      <c r="E158" s="8" t="inlineStr">
        <is>
          <t>音爆術</t>
        </is>
      </c>
      <c r="F158" s="10" t="inlineStr">
        <is>
          <t>職業</t>
        </is>
      </c>
      <c r="G158" s="10" t="inlineStr">
        <is>
          <t>術士；法師</t>
        </is>
      </c>
      <c r="H158" s="8" t="inlineStr">
        <is>
          <t>拆成術士與法師兩個職業</t>
        </is>
      </c>
      <c r="I158" s="11" t="n"/>
    </row>
    <row r="159" ht="15.75" customHeight="1" s="14">
      <c r="A159" s="12" t="n">
        <v>46</v>
      </c>
      <c r="B159" s="13" t="inlineStr">
        <is>
          <t>法師/術士 8（萬法大全為：牧師</t>
        </is>
      </c>
      <c r="C159" s="12" t="n">
        <v>1</v>
      </c>
      <c r="D159" s="12" t="inlineStr">
        <is>
          <t>7</t>
        </is>
      </c>
      <c r="E159" s="13" t="inlineStr">
        <is>
          <t>強力降咒</t>
        </is>
      </c>
      <c r="F159" s="10" t="inlineStr">
        <is>
          <t>等級修正</t>
        </is>
      </c>
      <c r="G159" s="10" t="n"/>
      <c r="H159" s="13" t="inlineStr">
        <is>
          <t>職業與等級黏在一起或含其他版本資料，見「等級修正」工作表</t>
        </is>
      </c>
      <c r="I159" s="11" t="n"/>
    </row>
    <row r="160" ht="15.75" customHeight="1" s="14">
      <c r="A160" s="6" t="n">
        <v>62</v>
      </c>
      <c r="B160" s="8" t="inlineStr">
        <is>
          <t>法爾賴恩的愛人（Beloved of Valarian ）</t>
        </is>
      </c>
      <c r="C160" s="6" t="n">
        <v>1</v>
      </c>
      <c r="D160" s="6" t="inlineStr">
        <is>
          <t>4</t>
        </is>
      </c>
      <c r="E160" s="8" t="inlineStr">
        <is>
          <t>光彩奪目之美</t>
        </is>
      </c>
      <c r="F160" s="10" t="inlineStr">
        <is>
          <t>職業</t>
        </is>
      </c>
      <c r="G160" s="10" t="inlineStr">
        <is>
          <t>法爾賴恩的愛人</t>
        </is>
      </c>
      <c r="H160" s="8" t="inlineStr">
        <is>
          <t>清理空格或括號後對應</t>
        </is>
      </c>
      <c r="I160" s="11" t="n"/>
    </row>
    <row r="161" ht="15.75" customHeight="1" s="14">
      <c r="A161" s="6" t="n">
        <v>137</v>
      </c>
      <c r="B161" s="8" t="inlineStr">
        <is>
          <t>海洋領域</t>
        </is>
      </c>
      <c r="C161" s="6" t="n">
        <v>1</v>
      </c>
      <c r="D161" s="6" t="inlineStr">
        <is>
          <t>8</t>
        </is>
      </c>
      <c r="E161" s="8" t="inlineStr">
        <is>
          <t>大漩渦</t>
        </is>
      </c>
      <c r="F161" s="10" t="inlineStr">
        <is>
          <t>領域</t>
        </is>
      </c>
      <c r="G161" s="10" t="inlineStr">
        <is>
          <t>海洋</t>
        </is>
      </c>
      <c r="H161" s="8" t="n"/>
      <c r="I161" s="11" t="n"/>
    </row>
    <row r="162" ht="15.75" customHeight="1" s="14">
      <c r="A162" s="6" t="n">
        <v>174</v>
      </c>
      <c r="B162" s="8" t="inlineStr">
        <is>
          <t>混沌</t>
        </is>
      </c>
      <c r="C162" s="6" t="n">
        <v>1</v>
      </c>
      <c r="D162" s="6" t="inlineStr">
        <is>
          <t>2</t>
        </is>
      </c>
      <c r="E162" s="8" t="inlineStr">
        <is>
          <t>抵抗異界傾向</t>
        </is>
      </c>
      <c r="F162" s="10" t="inlineStr">
        <is>
          <t>領域</t>
        </is>
      </c>
      <c r="G162" s="10" t="inlineStr">
        <is>
          <t>混亂</t>
        </is>
      </c>
      <c r="H162" s="8" t="inlineStr">
        <is>
          <t>合併了混沌</t>
        </is>
      </c>
      <c r="I162" s="11" t="n"/>
    </row>
    <row r="163" ht="15.75" customHeight="1" s="14">
      <c r="A163" s="6" t="n">
        <v>188</v>
      </c>
      <c r="B163" s="8" t="inlineStr">
        <is>
          <t>溝通</t>
        </is>
      </c>
      <c r="C163" s="6" t="n">
        <v>1</v>
      </c>
      <c r="D163" s="6" t="inlineStr">
        <is>
          <t>4</t>
        </is>
      </c>
      <c r="E163" s="8" t="inlineStr">
        <is>
          <t>高等關照術</t>
        </is>
      </c>
      <c r="F163" s="10" t="inlineStr">
        <is>
          <t>領域</t>
        </is>
      </c>
      <c r="G163" s="10" t="inlineStr">
        <is>
          <t>溝通</t>
        </is>
      </c>
      <c r="H163" s="8" t="n"/>
      <c r="I163" s="11" t="n"/>
    </row>
    <row r="164" ht="15.75" customHeight="1" s="14">
      <c r="A164" s="6" t="n">
        <v>140</v>
      </c>
      <c r="B164" s="8" t="inlineStr">
        <is>
          <t>無定界</t>
        </is>
      </c>
      <c r="C164" s="6" t="n">
        <v>1</v>
      </c>
      <c r="D164" s="6" t="inlineStr">
        <is>
          <t>3</t>
        </is>
      </c>
      <c r="E164" s="8" t="inlineStr">
        <is>
          <t>混沌罩袍</t>
        </is>
      </c>
      <c r="F164" s="10" t="inlineStr">
        <is>
          <t>領域</t>
        </is>
      </c>
      <c r="G164" s="10" t="inlineStr">
        <is>
          <t>無定界</t>
        </is>
      </c>
      <c r="H164" s="8" t="inlineStr">
        <is>
          <t>位面領域</t>
        </is>
      </c>
      <c r="I164" s="11" t="n"/>
    </row>
    <row r="165" ht="15.75" customHeight="1" s="14">
      <c r="A165" s="12" t="n">
        <v>90</v>
      </c>
      <c r="B165" s="13" t="inlineStr">
        <is>
          <t>牧師 2（模型手冊為牧師</t>
        </is>
      </c>
      <c r="C165" s="12" t="n">
        <v>1</v>
      </c>
      <c r="D165" s="12" t="inlineStr">
        <is>
          <t>3</t>
        </is>
      </c>
      <c r="E165" s="13" t="inlineStr">
        <is>
          <t>閉合傷口</t>
        </is>
      </c>
      <c r="F165" s="10" t="inlineStr">
        <is>
          <t>等級修正</t>
        </is>
      </c>
      <c r="G165" s="10" t="n"/>
      <c r="H165" s="13" t="inlineStr">
        <is>
          <t>職業與等級黏在一起或含其他版本資料，見「等級修正」工作表</t>
        </is>
      </c>
      <c r="I165" s="11" t="n"/>
    </row>
    <row r="166" ht="15.75" customHeight="1" s="14">
      <c r="A166" s="12" t="n">
        <v>178</v>
      </c>
      <c r="B166" s="13" t="inlineStr">
        <is>
          <t>牧師 4。聖武士</t>
        </is>
      </c>
      <c r="C166" s="12" t="n">
        <v>1</v>
      </c>
      <c r="D166" s="12" t="inlineStr">
        <is>
          <t>4</t>
        </is>
      </c>
      <c r="E166" s="13" t="inlineStr">
        <is>
          <t>聖化物品</t>
        </is>
      </c>
      <c r="F166" s="10" t="inlineStr">
        <is>
          <t>等級修正</t>
        </is>
      </c>
      <c r="G166" s="10" t="n"/>
      <c r="H166" s="13" t="inlineStr">
        <is>
          <t>職業與等級黏在一起或含其他版本資料，見「等級修正」工作表</t>
        </is>
      </c>
      <c r="I166" s="11" t="n"/>
    </row>
    <row r="167" ht="15.75" customHeight="1" s="14">
      <c r="A167" s="12" t="n">
        <v>187</v>
      </c>
      <c r="B167" s="13" t="inlineStr">
        <is>
          <t>牧師 5 Pact</t>
        </is>
      </c>
      <c r="C167" s="12" t="n">
        <v>1</v>
      </c>
      <c r="D167" s="12" t="inlineStr">
        <is>
          <t>5</t>
        </is>
      </c>
      <c r="E167" s="13" t="inlineStr">
        <is>
          <t>堅韌之契</t>
        </is>
      </c>
      <c r="F167" s="10" t="inlineStr">
        <is>
          <t>等級修正</t>
        </is>
      </c>
      <c r="G167" s="10" t="n"/>
      <c r="H167" s="13" t="inlineStr">
        <is>
          <t>職業與等級黏在一起或含其他版本資料，見「等級修正」工作表</t>
        </is>
      </c>
      <c r="I167" s="11" t="n"/>
    </row>
    <row r="168" ht="15.75" customHeight="1" s="14">
      <c r="A168" s="6" t="n">
        <v>191</v>
      </c>
      <c r="B168" s="8" t="inlineStr">
        <is>
          <t>狂亂</t>
        </is>
      </c>
      <c r="C168" s="6" t="n">
        <v>1</v>
      </c>
      <c r="D168" s="6" t="inlineStr">
        <is>
          <t>2</t>
        </is>
      </c>
      <c r="E168" s="8" t="inlineStr">
        <is>
          <t>狂亂之觸</t>
        </is>
      </c>
      <c r="F168" s="10" t="inlineStr">
        <is>
          <t>領域</t>
        </is>
      </c>
      <c r="G168" s="10" t="inlineStr">
        <is>
          <t>狂亂</t>
        </is>
      </c>
      <c r="H168" s="8" t="n"/>
      <c r="I168" s="11" t="n"/>
    </row>
    <row r="169" ht="15.75" customHeight="1" s="14">
      <c r="A169" s="12" t="n">
        <v>72</v>
      </c>
      <c r="B169" s="13" t="inlineStr">
        <is>
          <t>異怪書為牧師 8 心智</t>
        </is>
      </c>
      <c r="C169" s="12" t="n">
        <v>1</v>
      </c>
      <c r="D169" s="12" t="inlineStr">
        <is>
          <t>7</t>
        </is>
      </c>
      <c r="E169" s="13" t="inlineStr">
        <is>
          <t>心智蜘蛛</t>
        </is>
      </c>
      <c r="F169" s="10" t="inlineStr">
        <is>
          <t>等級修正</t>
        </is>
      </c>
      <c r="G169" s="10" t="n"/>
      <c r="H169" s="13" t="inlineStr">
        <is>
          <t>職業與等級黏在一起或含其他版本資料，見「等級修正」工作表</t>
        </is>
      </c>
      <c r="I169" s="11" t="n"/>
    </row>
    <row r="170" ht="15.75" customHeight="1" s="14">
      <c r="A170" s="6" t="n">
        <v>179</v>
      </c>
      <c r="B170" s="8" t="inlineStr">
        <is>
          <t>瘟疫</t>
        </is>
      </c>
      <c r="C170" s="6" t="n">
        <v>1</v>
      </c>
      <c r="D170" s="6" t="inlineStr">
        <is>
          <t>7</t>
        </is>
      </c>
      <c r="E170" s="8" t="inlineStr">
        <is>
          <t>降禍</t>
        </is>
      </c>
      <c r="F170" s="10" t="inlineStr">
        <is>
          <t>領域</t>
        </is>
      </c>
      <c r="G170" s="10" t="inlineStr">
        <is>
          <t>疫病</t>
        </is>
      </c>
      <c r="H170" s="8" t="inlineStr">
        <is>
          <t>合併到疫病</t>
        </is>
      </c>
      <c r="I170" s="11" t="inlineStr">
        <is>
          <t>疫病</t>
        </is>
      </c>
    </row>
    <row r="171" ht="15.75" customHeight="1" s="14">
      <c r="A171" s="6" t="n">
        <v>154</v>
      </c>
      <c r="B171" s="8" t="inlineStr">
        <is>
          <t>瘟疫領域</t>
        </is>
      </c>
      <c r="C171" s="6" t="n">
        <v>1</v>
      </c>
      <c r="D171" s="6" t="inlineStr">
        <is>
          <t>9</t>
        </is>
      </c>
      <c r="E171" s="8" t="inlineStr">
        <is>
          <t>食腐獸群</t>
        </is>
      </c>
      <c r="F171" s="10" t="inlineStr">
        <is>
          <t>領域</t>
        </is>
      </c>
      <c r="G171" s="10" t="inlineStr">
        <is>
          <t>疫病</t>
        </is>
      </c>
      <c r="H171" s="8" t="inlineStr">
        <is>
          <t>合併到疫病</t>
        </is>
      </c>
      <c r="I171" s="11" t="inlineStr">
        <is>
          <t>疫病</t>
        </is>
      </c>
    </row>
    <row r="172" ht="15.75" customHeight="1" s="14">
      <c r="A172" s="6" t="n">
        <v>43</v>
      </c>
      <c r="B172" s="8" t="inlineStr">
        <is>
          <t>砂領域（Sand ）</t>
        </is>
      </c>
      <c r="C172" s="6" t="n">
        <v>1</v>
      </c>
      <c r="D172" s="6" t="inlineStr">
        <is>
          <t>6</t>
        </is>
      </c>
      <c r="E172" s="8" t="inlineStr">
        <is>
          <t>沙之復蘇</t>
        </is>
      </c>
      <c r="F172" s="10" t="inlineStr">
        <is>
          <t>領域</t>
        </is>
      </c>
      <c r="G172" s="10" t="inlineStr">
        <is>
          <t>沙</t>
        </is>
      </c>
      <c r="H172" s="8" t="n"/>
      <c r="I172" s="11" t="n"/>
    </row>
    <row r="173" ht="15.75" customHeight="1" s="14">
      <c r="A173" s="6" t="n">
        <v>124</v>
      </c>
      <c r="B173" s="8" t="inlineStr">
        <is>
          <t>社會 Community</t>
        </is>
      </c>
      <c r="C173" s="6" t="n">
        <v>1</v>
      </c>
      <c r="D173" s="6" t="inlineStr">
        <is>
          <t>4</t>
        </is>
      </c>
      <c r="E173" s="8" t="inlineStr">
        <is>
          <t>高等觀照術</t>
        </is>
      </c>
      <c r="F173" s="10" t="inlineStr">
        <is>
          <t>領域</t>
        </is>
      </c>
      <c r="G173" s="10" t="inlineStr">
        <is>
          <t>社會</t>
        </is>
      </c>
      <c r="H173" s="8" t="n"/>
      <c r="I173" s="11" t="n"/>
    </row>
    <row r="174" ht="15.75" customHeight="1" s="14">
      <c r="A174" s="6" t="n">
        <v>165</v>
      </c>
      <c r="B174" s="8" t="inlineStr">
        <is>
          <t>秩序領域</t>
        </is>
      </c>
      <c r="C174" s="6" t="n">
        <v>1</v>
      </c>
      <c r="D174" s="6" t="inlineStr">
        <is>
          <t>1</t>
        </is>
      </c>
      <c r="E174" s="8" t="inlineStr">
        <is>
          <t>防護混亂</t>
        </is>
      </c>
      <c r="F174" s="10" t="inlineStr">
        <is>
          <t>領域</t>
        </is>
      </c>
      <c r="G174" s="10" t="inlineStr">
        <is>
          <t>秩序</t>
        </is>
      </c>
      <c r="H174" s="8" t="n"/>
      <c r="I174" s="11" t="n"/>
    </row>
    <row r="175" ht="15.75" customHeight="1" s="14">
      <c r="A175" s="6" t="n">
        <v>197</v>
      </c>
      <c r="B175" s="8" t="inlineStr">
        <is>
          <t>競爭</t>
        </is>
      </c>
      <c r="C175" s="6" t="n">
        <v>1</v>
      </c>
      <c r="D175" s="6" t="inlineStr">
        <is>
          <t>9</t>
        </is>
      </c>
      <c r="E175" s="8" t="inlineStr">
        <is>
          <t>高等神之面容</t>
        </is>
      </c>
      <c r="F175" s="10" t="inlineStr">
        <is>
          <t>領域</t>
        </is>
      </c>
      <c r="G175" s="10" t="inlineStr">
        <is>
          <t>競爭</t>
        </is>
      </c>
      <c r="H175" s="8" t="n"/>
      <c r="I175" s="11" t="n"/>
    </row>
    <row r="176" ht="15.75" customHeight="1" s="14">
      <c r="A176" s="6" t="n">
        <v>206</v>
      </c>
      <c r="B176" s="8" t="inlineStr">
        <is>
          <t>競爭領域</t>
        </is>
      </c>
      <c r="C176" s="6" t="n">
        <v>1</v>
      </c>
      <c r="D176" s="6" t="inlineStr">
        <is>
          <t>6</t>
        </is>
      </c>
      <c r="E176" s="8" t="inlineStr">
        <is>
          <t>狂熱誓言</t>
        </is>
      </c>
      <c r="F176" s="10" t="inlineStr">
        <is>
          <t>領域</t>
        </is>
      </c>
      <c r="G176" s="10" t="inlineStr">
        <is>
          <t>競爭</t>
        </is>
      </c>
      <c r="H176" s="8" t="n"/>
      <c r="I176" s="11" t="n"/>
    </row>
    <row r="177" ht="15.75" customHeight="1" s="14">
      <c r="A177" s="6" t="n">
        <v>192</v>
      </c>
      <c r="B177" s="8" t="inlineStr">
        <is>
          <t>符文領域</t>
        </is>
      </c>
      <c r="C177" s="6" t="n">
        <v>1</v>
      </c>
      <c r="D177" s="6" t="inlineStr">
        <is>
          <t>8</t>
        </is>
      </c>
      <c r="E177" s="8" t="inlineStr">
        <is>
          <t>摘取徽記</t>
        </is>
      </c>
      <c r="F177" s="10" t="inlineStr">
        <is>
          <t>領域</t>
        </is>
      </c>
      <c r="G177" s="10" t="inlineStr">
        <is>
          <t>符文</t>
        </is>
      </c>
      <c r="H177" s="8" t="n"/>
      <c r="I177" s="11" t="n"/>
    </row>
    <row r="178" ht="15.75" customHeight="1" s="14">
      <c r="A178" s="12" t="n">
        <v>61</v>
      </c>
      <c r="B178" s="13" t="inlineStr">
        <is>
          <t>聖武士 1（完美神力：黑武士</t>
        </is>
      </c>
      <c r="C178" s="12" t="n">
        <v>1</v>
      </c>
      <c r="D178" s="12" t="inlineStr">
        <is>
          <t>2</t>
        </is>
      </c>
      <c r="E178" s="13" t="inlineStr">
        <is>
          <t>祝福精准</t>
        </is>
      </c>
      <c r="F178" s="10" t="inlineStr">
        <is>
          <t>等級修正</t>
        </is>
      </c>
      <c r="G178" s="10" t="n"/>
      <c r="H178" s="13" t="inlineStr">
        <is>
          <t>職業與等級黏在一起或含其他版本資料，見「等級修正」工作表</t>
        </is>
      </c>
      <c r="I178" s="11" t="n"/>
    </row>
    <row r="179" ht="15.75" customHeight="1" s="14">
      <c r="A179" s="6" t="n">
        <v>148</v>
      </c>
      <c r="B179" s="8" t="inlineStr">
        <is>
          <t>腐 敗</t>
        </is>
      </c>
      <c r="C179" s="6" t="n">
        <v>1</v>
      </c>
      <c r="D179" s="6" t="inlineStr">
        <is>
          <t>4</t>
        </is>
      </c>
      <c r="E179" s="8" t="inlineStr">
        <is>
          <t>道德淪喪</t>
        </is>
      </c>
      <c r="F179" s="10" t="inlineStr">
        <is>
          <t>領域</t>
        </is>
      </c>
      <c r="G179" s="10" t="inlineStr">
        <is>
          <t>腐敗</t>
        </is>
      </c>
      <c r="H179" s="8" t="n"/>
      <c r="I179" s="11" t="n"/>
    </row>
    <row r="180" ht="15.75" customHeight="1" s="14">
      <c r="A180" s="6" t="n">
        <v>189</v>
      </c>
      <c r="B180" s="8" t="inlineStr">
        <is>
          <t>苦難</t>
        </is>
      </c>
      <c r="C180" s="6" t="n">
        <v>1</v>
      </c>
      <c r="D180" s="6" t="inlineStr">
        <is>
          <t>4</t>
        </is>
      </c>
      <c r="E180" s="8" t="inlineStr">
        <is>
          <t>持守飽足</t>
        </is>
      </c>
      <c r="F180" s="10" t="inlineStr">
        <is>
          <t>領域</t>
        </is>
      </c>
      <c r="G180" s="10" t="inlineStr">
        <is>
          <t>苦難</t>
        </is>
      </c>
      <c r="H180" s="8" t="n"/>
      <c r="I180" s="11" t="n"/>
    </row>
    <row r="181" ht="15.75" customHeight="1" s="14">
      <c r="A181" s="6" t="n">
        <v>170</v>
      </c>
      <c r="B181" s="8" t="inlineStr">
        <is>
          <t>苦難 Endurance</t>
        </is>
      </c>
      <c r="C181" s="6" t="n">
        <v>1</v>
      </c>
      <c r="D181" s="6" t="inlineStr">
        <is>
          <t>3</t>
        </is>
      </c>
      <c r="E181" s="8" t="inlineStr">
        <is>
          <t>精力重振</t>
        </is>
      </c>
      <c r="F181" s="10" t="inlineStr">
        <is>
          <t>領域</t>
        </is>
      </c>
      <c r="G181" s="10" t="inlineStr">
        <is>
          <t>苦難</t>
        </is>
      </c>
      <c r="H181" s="8" t="n"/>
      <c r="I181" s="11" t="n"/>
    </row>
    <row r="182" ht="15.75" customHeight="1" s="14">
      <c r="A182" s="6" t="n">
        <v>185</v>
      </c>
      <c r="B182" s="8" t="inlineStr">
        <is>
          <t>蜘蛛領域</t>
        </is>
      </c>
      <c r="C182" s="6" t="n">
        <v>1</v>
      </c>
      <c r="D182" s="6" t="inlineStr">
        <is>
          <t>9</t>
        </is>
      </c>
      <c r="E182" s="8" t="inlineStr">
        <is>
          <t>蜘蛛形態</t>
        </is>
      </c>
      <c r="F182" s="10" t="inlineStr">
        <is>
          <t>領域</t>
        </is>
      </c>
      <c r="G182" s="10" t="inlineStr">
        <is>
          <t>蜘蛛</t>
        </is>
      </c>
      <c r="H182" s="8" t="n"/>
      <c r="I182" s="11" t="n"/>
    </row>
    <row r="183" ht="15.75" customHeight="1" s="14">
      <c r="A183" s="6" t="n">
        <v>157</v>
      </c>
      <c r="B183" s="8" t="inlineStr">
        <is>
          <t>術 士/法師</t>
        </is>
      </c>
      <c r="C183" s="6" t="n">
        <v>1</v>
      </c>
      <c r="D183" s="6" t="inlineStr">
        <is>
          <t>9</t>
        </is>
      </c>
      <c r="E183" s="8" t="inlineStr">
        <is>
          <t>異界塑形</t>
        </is>
      </c>
      <c r="F183" s="10" t="inlineStr">
        <is>
          <t>職業</t>
        </is>
      </c>
      <c r="G183" s="10" t="inlineStr">
        <is>
          <t>術士；法師</t>
        </is>
      </c>
      <c r="H183" s="8" t="inlineStr">
        <is>
          <t>拆成術士與法師兩個職業；清理空格或括號後對應</t>
        </is>
      </c>
      <c r="I183" s="11" t="n"/>
    </row>
    <row r="184" ht="15.75" customHeight="1" s="14">
      <c r="A184" s="12" t="n">
        <v>120</v>
      </c>
      <c r="B184" s="13" t="inlineStr">
        <is>
          <t>術士/法師 2 （風暴之書）水族領域</t>
        </is>
      </c>
      <c r="C184" s="12" t="n">
        <v>1</v>
      </c>
      <c r="D184" s="12" t="inlineStr">
        <is>
          <t>2</t>
        </is>
      </c>
      <c r="E184" s="13" t="inlineStr">
        <is>
          <t>化鰭為趾</t>
        </is>
      </c>
      <c r="F184" s="10" t="inlineStr">
        <is>
          <t>等級修正</t>
        </is>
      </c>
      <c r="G184" s="10" t="n"/>
      <c r="H184" s="13" t="inlineStr">
        <is>
          <t>職業與等級黏在一起或含其他版本資料，見「等級修正」工作表</t>
        </is>
      </c>
      <c r="I184" s="11" t="n"/>
    </row>
    <row r="185" ht="15.75" customHeight="1" s="14">
      <c r="A185" s="12" t="n">
        <v>195</v>
      </c>
      <c r="B185" s="13" t="inlineStr">
        <is>
          <t>術士/法師 4（萬法大全為：吟游詩人</t>
        </is>
      </c>
      <c r="C185" s="12" t="n">
        <v>1</v>
      </c>
      <c r="D185" s="12" t="inlineStr">
        <is>
          <t>3</t>
        </is>
      </c>
      <c r="E185" s="13" t="inlineStr">
        <is>
          <t>災禍術</t>
        </is>
      </c>
      <c r="F185" s="10" t="inlineStr">
        <is>
          <t>等級修正</t>
        </is>
      </c>
      <c r="G185" s="10" t="n"/>
      <c r="H185" s="13" t="inlineStr">
        <is>
          <t>職業與等級黏在一起或含其他版本資料，見「等級修正」工作表</t>
        </is>
      </c>
      <c r="I185" s="11" t="n"/>
    </row>
    <row r="186" ht="15.75" customHeight="1" s="14">
      <c r="A186" s="12" t="n">
        <v>74</v>
      </c>
      <c r="B186" s="13" t="inlineStr">
        <is>
          <t>術士/法師 6 （萬法大全）：牧師</t>
        </is>
      </c>
      <c r="C186" s="12" t="n">
        <v>1</v>
      </c>
      <c r="D186" s="12" t="inlineStr">
        <is>
          <t>7</t>
        </is>
      </c>
      <c r="E186" s="13" t="inlineStr">
        <is>
          <t>耀光之刃</t>
        </is>
      </c>
      <c r="F186" s="10" t="inlineStr">
        <is>
          <t>等級修正</t>
        </is>
      </c>
      <c r="G186" s="10" t="n"/>
      <c r="H186" s="13" t="inlineStr">
        <is>
          <t>職業與等級黏在一起或含其他版本資料，見「等級修正」工作表</t>
        </is>
      </c>
      <c r="I186" s="11" t="n"/>
    </row>
    <row r="187" ht="15.75" customHeight="1" s="14">
      <c r="A187" s="12" t="n">
        <v>159</v>
      </c>
      <c r="B187" s="13" t="inlineStr">
        <is>
          <t>術士／法師５級（巨龍書為貪婪</t>
        </is>
      </c>
      <c r="C187" s="12" t="n">
        <v>1</v>
      </c>
      <c r="D187" s="12" t="inlineStr">
        <is>
          <t>8</t>
        </is>
      </c>
      <c r="E187" s="13" t="inlineStr">
        <is>
          <t>魅影盜賊</t>
        </is>
      </c>
      <c r="F187" s="10" t="inlineStr">
        <is>
          <t>等級修正</t>
        </is>
      </c>
      <c r="G187" s="10" t="n"/>
      <c r="H187" s="13" t="inlineStr">
        <is>
          <t>職業與等級黏在一起或含其他版本資料，見「等級修正」工作表</t>
        </is>
      </c>
      <c r="I187" s="11" t="n"/>
    </row>
    <row r="188" ht="15.75" customHeight="1" s="14">
      <c r="A188" s="6" t="n">
        <v>123</v>
      </c>
      <c r="B188" s="8" t="inlineStr">
        <is>
          <t>術者/法師</t>
        </is>
      </c>
      <c r="C188" s="6" t="n">
        <v>1</v>
      </c>
      <c r="D188" s="6" t="inlineStr">
        <is>
          <t>6</t>
        </is>
      </c>
      <c r="E188" s="8" t="inlineStr">
        <is>
          <t>寶石跳躍</t>
        </is>
      </c>
      <c r="F188" s="10" t="inlineStr">
        <is>
          <t>職業</t>
        </is>
      </c>
      <c r="G188" s="10" t="inlineStr">
        <is>
          <t>術士；法師</t>
        </is>
      </c>
      <c r="H188" s="8" t="inlineStr">
        <is>
          <t>拆成術士與法師兩個職業</t>
        </is>
      </c>
      <c r="I188" s="11" t="n"/>
    </row>
    <row r="189" ht="15.75" customHeight="1" s="14">
      <c r="A189" s="6" t="n">
        <v>152</v>
      </c>
      <c r="B189" s="8" t="inlineStr">
        <is>
          <t>解放領域</t>
        </is>
      </c>
      <c r="C189" s="6" t="n">
        <v>1</v>
      </c>
      <c r="D189" s="6" t="inlineStr">
        <is>
          <t>1</t>
        </is>
      </c>
      <c r="E189" s="8" t="inlineStr">
        <is>
          <t>厄難徵兆</t>
        </is>
      </c>
      <c r="F189" s="10" t="inlineStr">
        <is>
          <t>領域</t>
        </is>
      </c>
      <c r="G189" s="10" t="inlineStr">
        <is>
          <t>解放</t>
        </is>
      </c>
      <c r="H189" s="8" t="n"/>
      <c r="I189" s="11" t="n"/>
    </row>
    <row r="190" ht="15.75" customHeight="1" s="14">
      <c r="A190" s="6" t="n">
        <v>194</v>
      </c>
      <c r="B190" s="8" t="inlineStr">
        <is>
          <t>解放領域（Liberation）</t>
        </is>
      </c>
      <c r="C190" s="6" t="n">
        <v>1</v>
      </c>
      <c r="D190" s="6" t="inlineStr">
        <is>
          <t>9</t>
        </is>
      </c>
      <c r="E190" s="8" t="inlineStr">
        <is>
          <t>釋縛術</t>
        </is>
      </c>
      <c r="F190" s="10" t="inlineStr">
        <is>
          <t>領域</t>
        </is>
      </c>
      <c r="G190" s="10" t="inlineStr">
        <is>
          <t>解放</t>
        </is>
      </c>
      <c r="H190" s="8" t="n"/>
      <c r="I190" s="11" t="n"/>
    </row>
    <row r="191" ht="15.75" customHeight="1" s="14">
      <c r="A191" s="6" t="n">
        <v>162</v>
      </c>
      <c r="B191" s="8" t="inlineStr">
        <is>
          <t>詭術領域</t>
        </is>
      </c>
      <c r="C191" s="6" t="n">
        <v>1</v>
      </c>
      <c r="D191" s="6" t="inlineStr">
        <is>
          <t>8</t>
        </is>
      </c>
      <c r="E191" s="8" t="inlineStr">
        <is>
          <t>變形萬物</t>
        </is>
      </c>
      <c r="F191" s="10" t="inlineStr">
        <is>
          <t>領域</t>
        </is>
      </c>
      <c r="G191" s="10" t="inlineStr">
        <is>
          <t>詭術</t>
        </is>
      </c>
      <c r="H191" s="8" t="inlineStr">
        <is>
          <t>合併了詭計</t>
        </is>
      </c>
      <c r="I191" s="11" t="n"/>
    </row>
    <row r="192" ht="15.75" customHeight="1" s="14">
      <c r="A192" s="6" t="n">
        <v>131</v>
      </c>
      <c r="B192" s="8" t="inlineStr">
        <is>
          <t>詭計</t>
        </is>
      </c>
      <c r="C192" s="6" t="n">
        <v>1</v>
      </c>
      <c r="D192" s="6" t="inlineStr">
        <is>
          <t>2</t>
        </is>
      </c>
      <c r="E192" s="8" t="inlineStr">
        <is>
          <t>隱形術</t>
        </is>
      </c>
      <c r="F192" s="10" t="inlineStr">
        <is>
          <t>領域</t>
        </is>
      </c>
      <c r="G192" s="10" t="inlineStr">
        <is>
          <t>詭術</t>
        </is>
      </c>
      <c r="H192" s="8" t="inlineStr">
        <is>
          <t>合併了詭計</t>
        </is>
      </c>
      <c r="I192" s="11" t="n"/>
    </row>
    <row r="193" ht="15.75" customHeight="1" s="14">
      <c r="A193" s="6" t="n">
        <v>173</v>
      </c>
      <c r="B193" s="8" t="inlineStr">
        <is>
          <t>誓約</t>
        </is>
      </c>
      <c r="C193" s="6" t="n">
        <v>1</v>
      </c>
      <c r="D193" s="6" t="inlineStr">
        <is>
          <t>7</t>
        </is>
      </c>
      <c r="E193" s="8" t="inlineStr">
        <is>
          <t>恢復契約</t>
        </is>
      </c>
      <c r="F193" s="10" t="inlineStr">
        <is>
          <t>領域</t>
        </is>
      </c>
      <c r="G193" s="10" t="inlineStr">
        <is>
          <t>誓約</t>
        </is>
      </c>
      <c r="H193" s="8" t="n"/>
      <c r="I193" s="11" t="n"/>
    </row>
    <row r="194" ht="15.75" customHeight="1" s="14">
      <c r="A194" s="6" t="n">
        <v>158</v>
      </c>
      <c r="B194" s="8" t="inlineStr">
        <is>
          <t>貪婪領域（Greed）</t>
        </is>
      </c>
      <c r="C194" s="6" t="n">
        <v>1</v>
      </c>
      <c r="D194" s="6" t="inlineStr">
        <is>
          <t>8</t>
        </is>
      </c>
      <c r="E194" s="8" t="inlineStr">
        <is>
          <t>魅影盜賊</t>
        </is>
      </c>
      <c r="F194" s="10" t="inlineStr">
        <is>
          <t>領域</t>
        </is>
      </c>
      <c r="G194" s="10" t="inlineStr">
        <is>
          <t>貪婪</t>
        </is>
      </c>
      <c r="H194" s="8" t="n"/>
      <c r="I194" s="11" t="n"/>
    </row>
    <row r="195" ht="15.75" customHeight="1" s="14">
      <c r="A195" s="6" t="n">
        <v>121</v>
      </c>
      <c r="B195" s="8" t="inlineStr">
        <is>
          <t>貿易領域</t>
        </is>
      </c>
      <c r="C195" s="6" t="n">
        <v>1</v>
      </c>
      <c r="D195" s="6" t="inlineStr">
        <is>
          <t>2</t>
        </is>
      </c>
      <c r="E195" s="8" t="inlineStr">
        <is>
          <t>寶石炸彈</t>
        </is>
      </c>
      <c r="F195" s="10" t="inlineStr">
        <is>
          <t>領域</t>
        </is>
      </c>
      <c r="G195" s="10" t="inlineStr">
        <is>
          <t>貿易</t>
        </is>
      </c>
      <c r="H195" s="8" t="n"/>
      <c r="I195" s="11" t="n"/>
    </row>
    <row r="196" ht="15.75" customHeight="1" s="14">
      <c r="A196" s="6" t="n">
        <v>66</v>
      </c>
      <c r="B196" s="8" t="inlineStr">
        <is>
          <t>迅捷領域（Celerity domain）</t>
        </is>
      </c>
      <c r="C196" s="6" t="n">
        <v>1</v>
      </c>
      <c r="D196" s="6" t="inlineStr">
        <is>
          <t>8</t>
        </is>
      </c>
      <c r="E196" s="8" t="inlineStr">
        <is>
          <t>高等閃現術</t>
        </is>
      </c>
      <c r="F196" s="10" t="inlineStr">
        <is>
          <t>領域</t>
        </is>
      </c>
      <c r="G196" s="10" t="inlineStr">
        <is>
          <t>迅捷</t>
        </is>
      </c>
      <c r="H196" s="8" t="n"/>
      <c r="I196" s="11" t="n"/>
    </row>
    <row r="197" ht="15.75" customHeight="1" s="14">
      <c r="A197" s="6" t="n">
        <v>156</v>
      </c>
      <c r="B197" s="8" t="inlineStr">
        <is>
          <t>造物領域（Creation Domain）</t>
        </is>
      </c>
      <c r="C197" s="6" t="n">
        <v>1</v>
      </c>
      <c r="D197" s="6" t="inlineStr">
        <is>
          <t>9</t>
        </is>
      </c>
      <c r="E197" s="8" t="inlineStr">
        <is>
          <t>輝煌營帳</t>
        </is>
      </c>
      <c r="F197" s="10" t="inlineStr">
        <is>
          <t>領域</t>
        </is>
      </c>
      <c r="G197" s="10" t="inlineStr">
        <is>
          <t>造物</t>
        </is>
      </c>
      <c r="H197" s="8" t="inlineStr">
        <is>
          <t>合併了創造</t>
        </is>
      </c>
      <c r="I197" s="11" t="n"/>
    </row>
    <row r="198" ht="15.75" customHeight="1" s="14">
      <c r="A198" s="6" t="n">
        <v>151</v>
      </c>
      <c r="B198" s="8" t="inlineStr">
        <is>
          <t>風</t>
        </is>
      </c>
      <c r="C198" s="6" t="n">
        <v>1</v>
      </c>
      <c r="D198" s="6" t="inlineStr">
        <is>
          <t>1</t>
        </is>
      </c>
      <c r="E198" s="8" t="inlineStr">
        <is>
          <t>隱霧術</t>
        </is>
      </c>
      <c r="F198" s="10" t="inlineStr">
        <is>
          <t>領域</t>
        </is>
      </c>
      <c r="G198" s="10" t="inlineStr">
        <is>
          <t>氣</t>
        </is>
      </c>
      <c r="H198" s="8" t="inlineStr">
        <is>
          <t>合併到氣</t>
        </is>
      </c>
      <c r="I198" s="11" t="inlineStr">
        <is>
          <t>氣</t>
        </is>
      </c>
    </row>
    <row r="199" ht="15.75" customHeight="1" s="14">
      <c r="A199" s="6" t="n">
        <v>51</v>
      </c>
      <c r="B199" s="8" t="inlineStr">
        <is>
          <t>饑餓領域（Hunger）</t>
        </is>
      </c>
      <c r="C199" s="6" t="n">
        <v>1</v>
      </c>
      <c r="D199" s="6" t="inlineStr">
        <is>
          <t>8</t>
        </is>
      </c>
      <c r="E199" s="8" t="inlineStr">
        <is>
          <t>君王之齧</t>
        </is>
      </c>
      <c r="F199" s="10" t="inlineStr">
        <is>
          <t>領域</t>
        </is>
      </c>
      <c r="G199" s="10" t="inlineStr">
        <is>
          <t>饑餓</t>
        </is>
      </c>
      <c r="H199" s="8" t="n"/>
      <c r="I199" s="11" t="n"/>
    </row>
    <row r="200" ht="15.75" customHeight="1" s="14">
      <c r="A200" s="6" t="n">
        <v>70</v>
      </c>
      <c r="B200" s="8" t="inlineStr">
        <is>
          <t>魔劍</t>
        </is>
      </c>
      <c r="C200" s="6" t="n">
        <v>1</v>
      </c>
      <c r="D200" s="6" t="inlineStr">
        <is>
          <t>2</t>
        </is>
      </c>
      <c r="E200" s="8" t="inlineStr">
        <is>
          <t>厭惡低語</t>
        </is>
      </c>
      <c r="F200" s="10" t="inlineStr">
        <is>
          <t>職業</t>
        </is>
      </c>
      <c r="G200" s="10" t="inlineStr">
        <is>
          <t>魔劍客</t>
        </is>
      </c>
      <c r="H200" s="8" t="n"/>
      <c r="I200" s="11" t="n"/>
    </row>
    <row r="201" ht="15.75" customHeight="1" s="14">
      <c r="A201" s="6" t="n">
        <v>168</v>
      </c>
      <c r="B201" s="8" t="inlineStr">
        <is>
          <t>魔法領域</t>
        </is>
      </c>
      <c r="C201" s="6" t="n">
        <v>1</v>
      </c>
      <c r="D201" s="6" t="inlineStr">
        <is>
          <t>8</t>
        </is>
      </c>
      <c r="E201" s="8" t="inlineStr">
        <is>
          <t>防護法術</t>
        </is>
      </c>
      <c r="F201" s="10" t="inlineStr">
        <is>
          <t>領域</t>
        </is>
      </c>
      <c r="G201" s="10" t="inlineStr">
        <is>
          <t>魔法</t>
        </is>
      </c>
      <c r="H201" s="8" t="n"/>
      <c r="I201" s="11" t="n"/>
    </row>
    <row r="202" ht="15.75" customHeight="1" s="14">
      <c r="A202" s="6" t="n">
        <v>141</v>
      </c>
      <c r="B202" s="8" t="inlineStr">
        <is>
          <t>黑帝斯</t>
        </is>
      </c>
      <c r="C202" s="6" t="n">
        <v>1</v>
      </c>
      <c r="D202" s="6" t="inlineStr">
        <is>
          <t>3</t>
        </is>
      </c>
      <c r="E202" s="8" t="inlineStr">
        <is>
          <t>邪惡罩袍</t>
        </is>
      </c>
      <c r="F202" s="10" t="inlineStr">
        <is>
          <t>領域</t>
        </is>
      </c>
      <c r="G202" s="10" t="inlineStr">
        <is>
          <t>黑帝斯</t>
        </is>
      </c>
      <c r="H202" s="8" t="inlineStr">
        <is>
          <t>位面領域</t>
        </is>
      </c>
      <c r="I202" s="11" t="n"/>
    </row>
    <row r="203" ht="15.75" customHeight="1" s="14">
      <c r="A203" s="6" t="n">
        <v>132</v>
      </c>
      <c r="B203" s="8" t="inlineStr">
        <is>
          <t>黑暗守衛</t>
        </is>
      </c>
      <c r="C203" s="6" t="n">
        <v>1</v>
      </c>
      <c r="D203" s="6" t="inlineStr">
        <is>
          <t>1</t>
        </is>
      </c>
      <c r="E203" s="8" t="inlineStr">
        <is>
          <t>解析強者</t>
        </is>
      </c>
      <c r="F203" s="10" t="inlineStr">
        <is>
          <t>職業</t>
        </is>
      </c>
      <c r="G203" s="10" t="inlineStr">
        <is>
          <t>暗黑衛士</t>
        </is>
      </c>
      <c r="H203" s="8" t="n"/>
      <c r="I203" s="11" t="n"/>
    </row>
    <row r="204" ht="15.75" customHeight="1" s="14">
      <c r="A204" s="6" t="n">
        <v>183</v>
      </c>
      <c r="B204" s="8" t="inlineStr">
        <is>
          <t>黑衛士</t>
        </is>
      </c>
      <c r="C204" s="6" t="n">
        <v>1</v>
      </c>
      <c r="D204" s="6" t="inlineStr">
        <is>
          <t>2</t>
        </is>
      </c>
      <c r="E204" s="8" t="inlineStr">
        <is>
          <t>陰影之魂</t>
        </is>
      </c>
      <c r="F204" s="10" t="inlineStr">
        <is>
          <t>職業</t>
        </is>
      </c>
      <c r="G204" s="10" t="inlineStr">
        <is>
          <t>暗黑衛士</t>
        </is>
      </c>
      <c r="H204" s="8" t="n"/>
      <c r="I204" s="11" t="n"/>
    </row>
    <row r="205" ht="15.75" customHeight="1" s="14">
      <c r="A205" s="6" t="n">
        <v>199</v>
      </c>
      <c r="B205" s="8" t="inlineStr">
        <is>
          <t>龍</t>
        </is>
      </c>
      <c r="C205" s="6" t="n">
        <v>1</v>
      </c>
      <c r="D205" s="6" t="inlineStr">
        <is>
          <t>4</t>
        </is>
      </c>
      <c r="E205" s="8" t="inlineStr">
        <is>
          <t>龍言術</t>
        </is>
      </c>
      <c r="F205" s="10" t="inlineStr">
        <is>
          <t>領域</t>
        </is>
      </c>
      <c r="G205" s="10" t="inlineStr">
        <is>
          <t>龍</t>
        </is>
      </c>
      <c r="H205" s="8" t="n"/>
      <c r="I205" s="11" t="n"/>
    </row>
    <row r="206" ht="15.75" customHeight="1" s="14">
      <c r="A206" s="6" t="n">
        <v>109</v>
      </c>
      <c r="B206" s="8" t="inlineStr">
        <is>
          <t>龍領域</t>
        </is>
      </c>
      <c r="C206" s="6" t="n">
        <v>1</v>
      </c>
      <c r="D206" s="6" t="inlineStr">
        <is>
          <t>7</t>
        </is>
      </c>
      <c r="E206" s="8" t="inlineStr">
        <is>
          <t>龍族盟約</t>
        </is>
      </c>
      <c r="F206" s="10" t="inlineStr">
        <is>
          <t>領域</t>
        </is>
      </c>
      <c r="G206" s="10" t="inlineStr">
        <is>
          <t>龍</t>
        </is>
      </c>
      <c r="H206" s="8" t="n"/>
      <c r="I206" s="11" t="n"/>
    </row>
    <row r="207" ht="15.75" customHeight="1" s="14">
      <c r="A207" s="6" t="n">
        <v>175</v>
      </c>
      <c r="B207" s="8" t="inlineStr">
        <is>
          <t>（Deathbound）控死領域</t>
        </is>
      </c>
      <c r="C207" s="6" t="n">
        <v>1</v>
      </c>
      <c r="D207" s="6" t="inlineStr">
        <is>
          <t>5</t>
        </is>
      </c>
      <c r="E207" s="8" t="inlineStr">
        <is>
          <t>復蘇死靈</t>
        </is>
      </c>
      <c r="F207" s="10" t="inlineStr">
        <is>
          <t>領域</t>
        </is>
      </c>
      <c r="G207" s="10" t="inlineStr">
        <is>
          <t>控死</t>
        </is>
      </c>
      <c r="H207" s="8" t="n"/>
      <c r="I207" s="11" t="n"/>
    </row>
    <row r="208" ht="15.75" customHeight="1" s="14">
      <c r="A208" s="6" t="n">
        <v>136</v>
      </c>
      <c r="B208" s="8" t="inlineStr">
        <is>
          <t>（風暴之書）黑水領域</t>
        </is>
      </c>
      <c r="C208" s="6" t="n">
        <v>1</v>
      </c>
      <c r="D208" s="6" t="inlineStr">
        <is>
          <t>8</t>
        </is>
      </c>
      <c r="E208" s="8" t="inlineStr">
        <is>
          <t>大漩渦</t>
        </is>
      </c>
      <c r="F208" s="10" t="inlineStr">
        <is>
          <t>領域</t>
        </is>
      </c>
      <c r="G208" s="10" t="inlineStr">
        <is>
          <t>黑水</t>
        </is>
      </c>
      <c r="H208" s="8" t="n"/>
      <c r="I208" s="11" t="n"/>
    </row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autoFilter ref="$A$1:$I$208"/>
  <dataValidations count="1">
    <dataValidation sqref="F2:F208" showDropDown="0" showInputMessage="0" showErrorMessage="0" allowBlank="1" type="list">
      <formula1>"職業,領域,其他,等級修正,刪除"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4" min="1" max="1"/>
    <col width="26" customWidth="1" style="14" min="2" max="2"/>
    <col width="52" customWidth="1" style="14" min="3" max="3"/>
    <col width="46" customWidth="1" style="14" min="4" max="4"/>
    <col width="36" customWidth="1" style="14" min="5" max="5"/>
    <col width="40" customWidth="1" style="14" min="6" max="6"/>
    <col width="24" customWidth="1" style="14" min="7" max="7"/>
    <col width="8.710000000000001" customWidth="1" style="14" min="8" max="26"/>
  </cols>
  <sheetData>
    <row r="1" ht="30" customHeight="1" s="14">
      <c r="A1" s="4" t="inlineStr">
        <is>
          <t>法術</t>
        </is>
      </c>
      <c r="B1" s="4" t="inlineStr">
        <is>
          <t>英文名稱</t>
        </is>
      </c>
      <c r="C1" s="4" t="inlineStr">
        <is>
          <t>原文的等級行</t>
        </is>
      </c>
      <c r="D1" s="4" t="inlineStr">
        <is>
          <t>目前資料庫裡的等級</t>
        </is>
      </c>
      <c r="E1" s="4" t="inlineStr">
        <is>
          <t>建議正確等級</t>
        </is>
      </c>
      <c r="F1" s="4" t="inlineStr">
        <is>
          <t>說明</t>
        </is>
      </c>
      <c r="G1" s="4" t="inlineStr">
        <is>
          <t>你的備註</t>
        </is>
      </c>
    </row>
    <row r="2">
      <c r="A2" s="6" t="inlineStr">
        <is>
          <t>偵測探知</t>
        </is>
      </c>
      <c r="B2" s="6" t="inlineStr">
        <is>
          <t>Detect Scrying</t>
        </is>
      </c>
      <c r="C2" s="8" t="inlineStr">
        <is>
          <t>等級：吟游詩人 4 術士/法師 4</t>
        </is>
      </c>
      <c r="D2" s="8" t="inlineStr">
        <is>
          <t>吟游詩人 4 術士/法師 4</t>
        </is>
      </c>
      <c r="E2" s="11" t="inlineStr">
        <is>
          <t>吟遊詩人 4；術士 4；法師 4</t>
        </is>
      </c>
      <c r="F2" s="8" t="inlineStr">
        <is>
          <t>原文三個職業被合成一筆，缺了術士與法師</t>
        </is>
      </c>
      <c r="G2" s="11" t="n"/>
    </row>
    <row r="3">
      <c r="A3" s="6" t="inlineStr">
        <is>
          <t>水龍卷</t>
        </is>
      </c>
      <c r="B3" s="6" t="inlineStr">
        <is>
          <t>Waterspout</t>
        </is>
      </c>
      <c r="C3" s="8" t="inlineStr">
        <is>
          <t>等級：德魯伊 7（風暴之書）海洋領域 7，術士/法師 7</t>
        </is>
      </c>
      <c r="D3" s="8" t="inlineStr">
        <is>
          <t>術士/法師 7；德魯伊 7（風暴之書）海洋領域 7</t>
        </is>
      </c>
      <c r="E3" s="11" t="inlineStr">
        <is>
          <t>德魯伊 7；海洋 7；術士 7；法師 7</t>
        </is>
      </c>
      <c r="F3" s="8" t="inlineStr">
        <is>
          <t>德魯伊與海洋領域被合成一筆</t>
        </is>
      </c>
      <c r="G3" s="11" t="n"/>
    </row>
    <row r="4">
      <c r="A4" s="6" t="inlineStr">
        <is>
          <t>能量旋渦</t>
        </is>
      </c>
      <c r="B4" s="6" t="inlineStr">
        <is>
          <t>Energy Vortex</t>
        </is>
      </c>
      <c r="C4" s="8" t="inlineStr">
        <is>
          <t>等級：牧師 3，德魯依 3（完美神力牧師 4，德魯依 4）</t>
        </is>
      </c>
      <c r="D4" s="8" t="inlineStr">
        <is>
          <t>牧師 3；德魯依 3（完美神力牧師 4</t>
        </is>
      </c>
      <c r="E4" s="11" t="inlineStr">
        <is>
          <t>牧師 3；德魯伊 3</t>
        </is>
      </c>
      <c r="F4" s="8" t="inlineStr">
        <is>
          <t>括號內是《完美神力》的不同等級，不採用</t>
        </is>
      </c>
      <c r="G4" s="11" t="n"/>
    </row>
    <row r="5">
      <c r="A5" s="6" t="inlineStr">
        <is>
          <t>血流如注</t>
        </is>
      </c>
      <c r="B5" s="6" t="inlineStr">
        <is>
          <t>Bleed</t>
        </is>
      </c>
      <c r="C5" s="8" t="inlineStr">
        <is>
          <t>等級：暗黑衛士 4.牧師 5，德魯伊 5</t>
        </is>
      </c>
      <c r="D5" s="8" t="inlineStr">
        <is>
          <t>德魯伊 5；暗黑衛士 4.牧師 5</t>
        </is>
      </c>
      <c r="E5" s="11" t="inlineStr">
        <is>
          <t>暗黑衛士 4；牧師 5；德魯伊 5</t>
        </is>
      </c>
      <c r="F5" s="8" t="inlineStr">
        <is>
          <t>暗黑衛士與牧師被合成一筆</t>
        </is>
      </c>
      <c r="G5" s="11" t="n"/>
    </row>
    <row r="6">
      <c r="A6" s="6" t="inlineStr">
        <is>
          <t>強力降咒</t>
        </is>
      </c>
      <c r="B6" s="6" t="inlineStr">
        <is>
          <t>Bestow Curse,Greater</t>
        </is>
      </c>
      <c r="C6" s="8" t="inlineStr">
        <is>
          <t>等級：吟游詩人 6，牧師 7，宿命 7，法師/術士 8（萬法大全為：牧師 7，法師/術士 8）</t>
        </is>
      </c>
      <c r="D6" s="8" t="inlineStr">
        <is>
          <t>牧師 7；吟游詩人 6；宿命 7；法師/術士 8（萬法大全為：牧師 7</t>
        </is>
      </c>
      <c r="E6" s="11" t="inlineStr">
        <is>
          <t>吟遊詩人 6；牧師 7；宿命 7；術士 8；法師 8</t>
        </is>
      </c>
      <c r="F6" s="8" t="inlineStr">
        <is>
          <t>目前錯記為 7 級，括號內是《萬法大全》版本</t>
        </is>
      </c>
      <c r="G6" s="11" t="n"/>
    </row>
    <row r="7">
      <c r="A7" s="6" t="inlineStr">
        <is>
          <t>閉合傷口</t>
        </is>
      </c>
      <c r="B7" s="6" t="inlineStr">
        <is>
          <t>Close Wounds</t>
        </is>
      </c>
      <c r="C7" s="8" t="inlineStr">
        <is>
          <t>等級：牧師 2（模型手冊為牧師 3、治療師 3）</t>
        </is>
      </c>
      <c r="D7" s="8" t="inlineStr">
        <is>
          <t>牧師 2（模型手冊為牧師 3</t>
        </is>
      </c>
      <c r="E7" s="11" t="inlineStr">
        <is>
          <t>牧師 2</t>
        </is>
      </c>
      <c r="F7" s="8" t="inlineStr">
        <is>
          <t>括號內是《模型手冊》版本（牧師 3、治療師 3），不採用</t>
        </is>
      </c>
      <c r="G7" s="11" t="n"/>
    </row>
    <row r="8">
      <c r="A8" s="6" t="inlineStr">
        <is>
          <t>聖化物品</t>
        </is>
      </c>
      <c r="B8" s="6" t="inlineStr">
        <is>
          <t>Sacred Item</t>
        </is>
      </c>
      <c r="C8" s="8" t="inlineStr">
        <is>
          <t>等級：牧師 4。聖武士 4</t>
        </is>
      </c>
      <c r="D8" s="8" t="inlineStr">
        <is>
          <t>牧師 4。聖武士 4</t>
        </is>
      </c>
      <c r="E8" s="11" t="inlineStr">
        <is>
          <t>牧師 4；聖武士 4</t>
        </is>
      </c>
      <c r="F8" s="8" t="inlineStr">
        <is>
          <t>牧師與聖武士被合成一筆</t>
        </is>
      </c>
      <c r="G8" s="11" t="n"/>
    </row>
    <row r="9">
      <c r="A9" s="6" t="inlineStr">
        <is>
          <t>堅韌之契</t>
        </is>
      </c>
      <c r="B9" s="6" t="inlineStr">
        <is>
          <t>Stalwart Pact</t>
        </is>
      </c>
      <c r="C9" s="8" t="inlineStr">
        <is>
          <t>等級:牧師 5 Pact 5</t>
        </is>
      </c>
      <c r="D9" s="8" t="inlineStr">
        <is>
          <t>牧師 5 Pact 5</t>
        </is>
      </c>
      <c r="E9" s="11" t="inlineStr">
        <is>
          <t>牧師 5；契約 5</t>
        </is>
      </c>
      <c r="F9" s="8" t="inlineStr">
        <is>
          <t>Pact 是契約領域</t>
        </is>
      </c>
      <c r="G9" s="11" t="n"/>
    </row>
    <row r="10">
      <c r="A10" s="6" t="inlineStr">
        <is>
          <t>心智蜘蛛</t>
        </is>
      </c>
      <c r="B10" s="6" t="inlineStr">
        <is>
          <t>Brain Spider</t>
        </is>
      </c>
      <c r="C10" s="8" t="inlineStr">
        <is>
          <t>等級：牧師 7、心智 7，異怪書為牧師 8 心智 7</t>
        </is>
      </c>
      <c r="D10" s="8" t="inlineStr">
        <is>
          <t>牧師 7；心智 7；異怪書為牧師 8 心智 7</t>
        </is>
      </c>
      <c r="E10" s="11" t="inlineStr">
        <is>
          <t>牧師 7；心靈 7</t>
        </is>
      </c>
      <c r="F10" s="8" t="inlineStr">
        <is>
          <t>多出的一筆是《異怪書》版本，刪除；心智領域已合併到心靈</t>
        </is>
      </c>
      <c r="G10" s="11" t="n"/>
    </row>
    <row r="11">
      <c r="A11" s="6" t="inlineStr">
        <is>
          <t>祝福精准</t>
        </is>
      </c>
      <c r="B11" s="6" t="inlineStr">
        <is>
          <t>Blessed Aim</t>
        </is>
      </c>
      <c r="C11" s="8" t="inlineStr">
        <is>
          <t>等級：暗黑衛士 1、牧師 1、聖武士 1（完美神力：黑武士 2，牧師 3，聖武士 2）</t>
        </is>
      </c>
      <c r="D11" s="8" t="inlineStr">
        <is>
          <t>牧師 1；牧師 3；暗黑衛士 1；聖武士 1（完美神力：黑武士 2</t>
        </is>
      </c>
      <c r="E11" s="11" t="inlineStr">
        <is>
          <t>暗黑衛士 1；牧師 1；聖武士 1</t>
        </is>
      </c>
      <c r="F11" s="8" t="inlineStr">
        <is>
          <t>括號內是《完美神力》版本；多出的牧師 3 也應刪除</t>
        </is>
      </c>
      <c r="G11" s="11" t="n"/>
    </row>
    <row r="12">
      <c r="A12" s="6" t="inlineStr">
        <is>
          <t>化鰭為趾</t>
        </is>
      </c>
      <c r="B12" s="6" t="inlineStr">
        <is>
          <t>Fins To Feet</t>
        </is>
      </c>
      <c r="C12" s="8" t="inlineStr">
        <is>
          <t>等級：術士/法師 2 （風暴之書）水族領域 2，德魯伊 2</t>
        </is>
      </c>
      <c r="D12" s="8" t="inlineStr">
        <is>
          <t>德魯伊 2；術士/法師 2 （風暴之書）水族領域 2</t>
        </is>
      </c>
      <c r="E12" s="11" t="inlineStr">
        <is>
          <t>術士 2；法師 2；水族 2；德魯伊 2</t>
        </is>
      </c>
      <c r="F12" s="8" t="inlineStr">
        <is>
          <t>術士/法師與水族領域被合成一筆</t>
        </is>
      </c>
      <c r="G12" s="11" t="n"/>
    </row>
    <row r="13">
      <c r="A13" s="6" t="inlineStr">
        <is>
          <t>災禍術</t>
        </is>
      </c>
      <c r="B13" s="6" t="inlineStr">
        <is>
          <t>Unluck</t>
        </is>
      </c>
      <c r="C13" s="8" t="inlineStr">
        <is>
          <t>等級：吟游詩人 4，術士/法師 4（萬法大全為：吟游詩人 3,術士/法師 3）</t>
        </is>
      </c>
      <c r="D13" s="8" t="inlineStr">
        <is>
          <t>吟游詩人 4；術士/法師 4（萬法大全為：吟游詩人 3</t>
        </is>
      </c>
      <c r="E13" s="11" t="inlineStr">
        <is>
          <t>吟遊詩人 4；術士 4；法師 4</t>
        </is>
      </c>
      <c r="F13" s="8" t="inlineStr">
        <is>
          <t>目前錯記為 3 級，括號內是《萬法大全》版本</t>
        </is>
      </c>
      <c r="G13" s="11" t="n"/>
    </row>
    <row r="14">
      <c r="A14" s="6" t="inlineStr">
        <is>
          <t>耀光之刃</t>
        </is>
      </c>
      <c r="B14" s="6" t="inlineStr">
        <is>
          <t>Brilliant Blade</t>
        </is>
      </c>
      <c r="C14" s="8" t="inlineStr">
        <is>
          <t>等級：完美奧術：牧師 8，術士/法師 6</t>
        </is>
      </c>
      <c r="D14" s="8" t="inlineStr">
        <is>
          <t>術士/法師 6；德魯伊 7；完美奧術：牧師 8；術士/法師 6 （萬法大全）：牧師 7</t>
        </is>
      </c>
      <c r="E14" s="11" t="inlineStr">
        <is>
          <t>牧師 8；德魯伊 7；術士 6；法師 6</t>
        </is>
      </c>
      <c r="F14" s="8" t="inlineStr">
        <is>
          <t>兩筆殘缺資料合併；「完美奧術」是書名</t>
        </is>
      </c>
      <c r="G14" s="11" t="n"/>
    </row>
    <row r="15">
      <c r="A15" s="6" t="inlineStr">
        <is>
          <t>魅影盜賊</t>
        </is>
      </c>
      <c r="B15" s="6" t="inlineStr">
        <is>
          <t>Phantasmal Thief</t>
        </is>
      </c>
      <c r="C15" s="8" t="inlineStr">
        <is>
          <t>等級：貪婪領域（Greed）８級，術士／法師５級（巨龍書為貪婪8，法師術士8）</t>
        </is>
      </c>
      <c r="D15" s="8" t="inlineStr">
        <is>
          <t>貪婪領域（Greed） 8；術士／法師５級（巨龍書為貪婪 8</t>
        </is>
      </c>
      <c r="E15" s="11" t="inlineStr">
        <is>
          <t>貪婪 8；術士 5；法師 5</t>
        </is>
      </c>
      <c r="F15" s="8" t="inlineStr">
        <is>
          <t>目前錯記為 8 級，括號內是《巨龍書》版本</t>
        </is>
      </c>
      <c r="G15" s="11" t="n"/>
    </row>
    <row r="16">
      <c r="A16" s="6" t="inlineStr">
        <is>
          <t>清心之刻</t>
        </is>
      </c>
      <c r="B16" s="6" t="inlineStr">
        <is>
          <t>Moment Clarity</t>
        </is>
      </c>
      <c r="C16" s="8" t="inlineStr">
        <is>
          <t>等級：聖武士 1，好人書為聖武士 2</t>
        </is>
      </c>
      <c r="D16" s="8" t="inlineStr">
        <is>
          <t>聖武士 1；好人書為聖武士 2</t>
        </is>
      </c>
      <c r="E16" s="11" t="inlineStr">
        <is>
          <t>聖武士 1</t>
        </is>
      </c>
      <c r="F16" s="8" t="inlineStr">
        <is>
          <t>多出的一筆是《好人書》版本，刪除</t>
        </is>
      </c>
      <c r="G16" s="11" t="n"/>
    </row>
    <row r="21" ht="15.75" customHeight="1" s="14"/>
    <row r="22" ht="15.75" customHeight="1" s="14"/>
    <row r="23" ht="15.75" customHeight="1" s="14"/>
    <row r="24" ht="15.75" customHeight="1" s="14"/>
    <row r="25" ht="15.75" customHeight="1" s="14"/>
    <row r="26" ht="15.75" customHeight="1" s="14"/>
    <row r="27" ht="15.75" customHeight="1" s="14"/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autoFilter ref="$A$1:$G$16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14" min="1" max="1"/>
    <col width="28" customWidth="1" style="14" min="2" max="2"/>
    <col width="36" customWidth="1" style="14" min="3" max="3"/>
    <col width="14" customWidth="1" style="14" min="4" max="4"/>
    <col width="16" customWidth="1" style="14" min="5" max="5"/>
    <col width="14" customWidth="1" style="14" min="6" max="6"/>
    <col width="52" customWidth="1" style="14" min="7" max="7"/>
    <col width="24" customWidth="1" style="14" min="8" max="8"/>
    <col width="8.710000000000001" customWidth="1" style="14" min="9" max="26"/>
  </cols>
  <sheetData>
    <row r="1" ht="30" customHeight="1" s="14">
      <c r="A1" s="4" t="inlineStr">
        <is>
          <t>法術</t>
        </is>
      </c>
      <c r="B1" s="4" t="inlineStr">
        <is>
          <t>英文名稱</t>
        </is>
      </c>
      <c r="C1" s="4" t="inlineStr">
        <is>
          <t>目前學派文字</t>
        </is>
      </c>
      <c r="D1" s="4" t="inlineStr">
        <is>
          <t>規則判讀</t>
        </is>
      </c>
      <c r="E1" s="4" t="inlineStr">
        <is>
          <t>原文英文學派</t>
        </is>
      </c>
      <c r="F1" s="4" t="inlineStr">
        <is>
          <t>建議學派</t>
        </is>
      </c>
      <c r="G1" s="4" t="inlineStr">
        <is>
          <t>說明</t>
        </is>
      </c>
      <c r="H1" s="4" t="inlineStr">
        <is>
          <t>你的備註</t>
        </is>
      </c>
    </row>
    <row r="2">
      <c r="A2" s="6" t="inlineStr">
        <is>
          <t>活化物品</t>
        </is>
      </c>
      <c r="B2" s="8" t="inlineStr">
        <is>
          <t>Animate Objects</t>
        </is>
      </c>
      <c r="C2" s="8" t="n"/>
      <c r="D2" s="6" t="inlineStr">
        <is>
          <t>（無）</t>
        </is>
      </c>
      <c r="E2" s="6" t="n"/>
      <c r="F2" s="10" t="inlineStr">
        <is>
          <t>變化</t>
        </is>
      </c>
      <c r="G2" s="8" t="inlineStr">
        <is>
          <t>學派欄空白；D&amp;D 原書為 Transmutation</t>
        </is>
      </c>
      <c r="H2" s="11" t="n"/>
    </row>
    <row r="3">
      <c r="A3" s="6" t="inlineStr">
        <is>
          <t>光輝放射</t>
        </is>
      </c>
      <c r="B3" s="8" t="inlineStr">
        <is>
          <t>Brilliant Emanation</t>
        </is>
      </c>
      <c r="C3" s="8" t="n"/>
      <c r="D3" s="6" t="inlineStr">
        <is>
          <t>（無）</t>
        </is>
      </c>
      <c r="E3" s="6" t="n"/>
      <c r="F3" s="10" t="inlineStr">
        <is>
          <t>塑能</t>
        </is>
      </c>
      <c r="G3" s="8" t="inlineStr">
        <is>
          <t>學派欄空白；待確認，原書應為 Evocation</t>
        </is>
      </c>
      <c r="H3" s="11" t="n"/>
    </row>
    <row r="4">
      <c r="A4" s="6" t="inlineStr">
        <is>
          <t>寒冰暴怒</t>
        </is>
      </c>
      <c r="B4" s="8" t="inlineStr">
        <is>
          <t>Burst Of Glacial Wrath</t>
        </is>
      </c>
      <c r="C4" s="8" t="inlineStr">
        <is>
          <t>塑能/變化［寒冷］</t>
        </is>
      </c>
      <c r="D4" s="6" t="inlineStr">
        <is>
          <t>塑能；變化</t>
        </is>
      </c>
      <c r="E4" s="6" t="n"/>
      <c r="F4" s="10" t="inlineStr">
        <is>
          <t>塑能；變化</t>
        </is>
      </c>
      <c r="G4" s="8" t="inlineStr">
        <is>
          <t>跨學派法術，兩個學派都顯示、都搜得到</t>
        </is>
      </c>
      <c r="H4" s="11" t="n"/>
    </row>
    <row r="5">
      <c r="A5" s="6" t="inlineStr">
        <is>
          <t>操控死靈</t>
        </is>
      </c>
      <c r="B5" s="8" t="inlineStr">
        <is>
          <t>Control Undead</t>
        </is>
      </c>
      <c r="C5" s="8" t="n"/>
      <c r="D5" s="6" t="inlineStr">
        <is>
          <t>（無）</t>
        </is>
      </c>
      <c r="E5" s="6" t="n"/>
      <c r="F5" s="10" t="inlineStr">
        <is>
          <t>死靈</t>
        </is>
      </c>
      <c r="G5" s="8" t="inlineStr">
        <is>
          <t>學派欄空白；D&amp;D 原書為 Necromancy</t>
        </is>
      </c>
      <c r="H5" s="11" t="n"/>
    </row>
    <row r="6">
      <c r="A6" s="6" t="inlineStr">
        <is>
          <t>榮耀之冠</t>
        </is>
      </c>
      <c r="B6" s="8" t="inlineStr">
        <is>
          <t>Crown Of Glory</t>
        </is>
      </c>
      <c r="C6" s="8" t="inlineStr">
        <is>
          <t>附魔系[脅迫]（心靈影響）</t>
        </is>
      </c>
      <c r="D6" s="6" t="inlineStr">
        <is>
          <t>惑控</t>
        </is>
      </c>
      <c r="E6" s="6" t="n"/>
      <c r="F6" s="10" t="inlineStr">
        <is>
          <t>塑能</t>
        </is>
      </c>
      <c r="G6" s="8" t="inlineStr">
        <is>
          <t>「招魂」是 Evocation 的誤譯，原文為 Evocation</t>
        </is>
      </c>
      <c r="H6" s="11" t="n"/>
    </row>
    <row r="7">
      <c r="A7" s="6" t="inlineStr">
        <is>
          <t>榮耀之冠</t>
        </is>
      </c>
      <c r="B7" s="8" t="inlineStr">
        <is>
          <t>Crown Of Glory</t>
        </is>
      </c>
      <c r="C7" s="8" t="inlineStr">
        <is>
          <t>招魂</t>
        </is>
      </c>
      <c r="D7" s="6" t="inlineStr">
        <is>
          <t>（無）</t>
        </is>
      </c>
      <c r="E7" s="6" t="inlineStr">
        <is>
          <t>Evocation</t>
        </is>
      </c>
      <c r="F7" s="10" t="inlineStr">
        <is>
          <t>塑能</t>
        </is>
      </c>
      <c r="G7" s="8" t="inlineStr">
        <is>
          <t>「招魂」是 Evocation 的誤譯，原文為 Evocation</t>
        </is>
      </c>
      <c r="H7" s="11" t="n"/>
    </row>
    <row r="8">
      <c r="A8" s="6" t="inlineStr">
        <is>
          <t>厄難聖甲蟲</t>
        </is>
      </c>
      <c r="B8" s="8" t="inlineStr">
        <is>
          <t>Doom Scarabs</t>
        </is>
      </c>
      <c r="C8" s="8" t="inlineStr">
        <is>
          <t>咒法系/死靈系</t>
        </is>
      </c>
      <c r="D8" s="6" t="inlineStr">
        <is>
          <t>咒法；死靈</t>
        </is>
      </c>
      <c r="E8" s="6" t="n"/>
      <c r="F8" s="10" t="inlineStr">
        <is>
          <t>咒法；死靈</t>
        </is>
      </c>
      <c r="G8" s="8" t="inlineStr">
        <is>
          <t>跨學派法術，兩個學派都顯示、都搜得到</t>
        </is>
      </c>
      <c r="H8" s="11" t="n"/>
    </row>
    <row r="9">
      <c r="A9" s="6" t="inlineStr">
        <is>
          <t>鑄夢術</t>
        </is>
      </c>
      <c r="B9" s="8" t="inlineStr">
        <is>
          <t>Dream Casting</t>
        </is>
      </c>
      <c r="C9" s="8" t="inlineStr">
        <is>
          <t>幻術系（魅影幻覺）[影響心靈]；見下文</t>
        </is>
      </c>
      <c r="D9" s="6" t="inlineStr">
        <is>
          <t>幻術</t>
        </is>
      </c>
      <c r="E9" s="6" t="n"/>
      <c r="F9" s="10" t="inlineStr">
        <is>
          <t>幻術</t>
        </is>
      </c>
      <c r="G9" s="8" t="inlineStr">
        <is>
          <t>需要確認</t>
        </is>
      </c>
      <c r="H9" s="11" t="n"/>
    </row>
    <row r="10">
      <c r="A10" s="6" t="inlineStr">
        <is>
          <t>高等逆電仇殺</t>
        </is>
      </c>
      <c r="B10" s="8" t="inlineStr">
        <is>
          <t>Electric Vengeance,Greater</t>
        </is>
      </c>
      <c r="C10" s="8" t="inlineStr">
        <is>
          <t>法術抗力：可 塑能系</t>
        </is>
      </c>
      <c r="D10" s="6" t="inlineStr">
        <is>
          <t>塑能</t>
        </is>
      </c>
      <c r="E10" s="6" t="n"/>
      <c r="F10" s="10" t="inlineStr">
        <is>
          <t>塑能</t>
        </is>
      </c>
      <c r="G10" s="8" t="inlineStr">
        <is>
          <t>學派欄混入「法術抗力：可」，可順便清理</t>
        </is>
      </c>
      <c r="H10" s="11" t="n"/>
    </row>
    <row r="11">
      <c r="A11" s="6" t="inlineStr">
        <is>
          <t>能量旋渦</t>
        </is>
      </c>
      <c r="B11" s="8" t="inlineStr">
        <is>
          <t>Energy Vortex</t>
        </is>
      </c>
      <c r="C11" s="8" t="inlineStr">
        <is>
          <t>塑能系 [見下]（完美神力[酸，冷，火，電或音波]）</t>
        </is>
      </c>
      <c r="D11" s="6" t="inlineStr">
        <is>
          <t>塑能</t>
        </is>
      </c>
      <c r="E11" s="6" t="n"/>
      <c r="F11" s="10" t="inlineStr">
        <is>
          <t>塑能</t>
        </is>
      </c>
      <c r="G11" s="8" t="inlineStr">
        <is>
          <t>需要確認</t>
        </is>
      </c>
      <c r="H11" s="11" t="n"/>
    </row>
    <row r="12">
      <c r="A12" s="6" t="inlineStr">
        <is>
          <t>血色暴怒</t>
        </is>
      </c>
      <c r="B12" s="8" t="inlineStr">
        <is>
          <t>Ferocity Of Sanguine Rage</t>
        </is>
      </c>
      <c r="C12" s="8" t="inlineStr">
        <is>
          <t>變化/預言</t>
        </is>
      </c>
      <c r="D12" s="6" t="inlineStr">
        <is>
          <t>預言；變化</t>
        </is>
      </c>
      <c r="E12" s="6" t="n"/>
      <c r="F12" s="10" t="inlineStr">
        <is>
          <t>預言；變化</t>
        </is>
      </c>
      <c r="G12" s="8" t="inlineStr">
        <is>
          <t>跨學派法術，兩個學派都顯示、都搜得到</t>
        </is>
      </c>
      <c r="H12" s="11" t="n"/>
    </row>
    <row r="13">
      <c r="A13" s="6" t="inlineStr">
        <is>
          <t>赴湯蹈火</t>
        </is>
      </c>
      <c r="B13" s="8" t="inlineStr">
        <is>
          <t>Firestride Exhalation</t>
        </is>
      </c>
      <c r="C13" s="8" t="inlineStr">
        <is>
          <t>咒法（傳送）/塑能［火］</t>
        </is>
      </c>
      <c r="D13" s="6" t="inlineStr">
        <is>
          <t>咒法；塑能</t>
        </is>
      </c>
      <c r="E13" s="6" t="n"/>
      <c r="F13" s="10" t="inlineStr">
        <is>
          <t>咒法；塑能</t>
        </is>
      </c>
      <c r="G13" s="8" t="inlineStr">
        <is>
          <t>跨學派法術，兩個學派都顯示、都搜得到</t>
        </is>
      </c>
      <c r="H13" s="11" t="n"/>
    </row>
    <row r="14">
      <c r="A14" s="6" t="inlineStr">
        <is>
          <t>變化系</t>
        </is>
      </c>
      <c r="B14" s="8" t="inlineStr">
        <is>
          <t>譯者：3e 的分類？衛生紙大麻抽多了吧„„編輯：同感</t>
        </is>
      </c>
      <c r="C14" s="8" t="n"/>
      <c r="D14" s="6" t="inlineStr">
        <is>
          <t>（無）</t>
        </is>
      </c>
      <c r="E14" s="6" t="n"/>
      <c r="F14" s="10" t="inlineStr">
        <is>
          <t>變化</t>
        </is>
      </c>
      <c r="G14" s="8" t="inlineStr">
        <is>
          <t>法術名稱擷取錯誤（中文名變成「變化系」、英文名是譯者註），學派為變化系（傳送）；名稱需在 app 裡手動修正</t>
        </is>
      </c>
      <c r="H14" s="11" t="n"/>
    </row>
    <row r="15">
      <c r="A15" s="6" t="inlineStr">
        <is>
          <t>鋼鐵骨骼</t>
        </is>
      </c>
      <c r="B15" s="8" t="inlineStr">
        <is>
          <t>Iron Bones</t>
        </is>
      </c>
      <c r="C15" s="8" t="n"/>
      <c r="D15" s="6" t="inlineStr">
        <is>
          <t>（無）</t>
        </is>
      </c>
      <c r="E15" s="6" t="n"/>
      <c r="F15" s="10" t="inlineStr">
        <is>
          <t>變化</t>
        </is>
      </c>
      <c r="G15" s="8" t="inlineStr">
        <is>
          <t>學派欄空白；待確認，原書應為 Transmutation</t>
        </is>
      </c>
      <c r="H15" s="11" t="n"/>
    </row>
    <row r="16">
      <c r="A16" s="6" t="inlineStr">
        <is>
          <t>卡魯古爾火焰彈</t>
        </is>
      </c>
      <c r="B16" s="8" t="inlineStr">
        <is>
          <t>Kelgore’s Fire Bolt</t>
        </is>
      </c>
      <c r="C16" s="8" t="inlineStr">
        <is>
          <t>咒法系/塑能系</t>
        </is>
      </c>
      <c r="D16" s="6" t="inlineStr">
        <is>
          <t>咒法；塑能</t>
        </is>
      </c>
      <c r="E16" s="6" t="n"/>
      <c r="F16" s="10" t="inlineStr">
        <is>
          <t>咒法；塑能</t>
        </is>
      </c>
      <c r="G16" s="8" t="inlineStr">
        <is>
          <t>跨學派法術，兩個學派都顯示、都搜得到</t>
        </is>
      </c>
      <c r="H16" s="11" t="n"/>
    </row>
    <row r="17">
      <c r="A17" s="6" t="inlineStr">
        <is>
          <t>卡魯古爾墓窖寒霧</t>
        </is>
      </c>
      <c r="B17" s="8" t="inlineStr">
        <is>
          <t>Kelgore’s Grave Mist</t>
        </is>
      </c>
      <c r="C17" s="8" t="inlineStr">
        <is>
          <t>咒法系/死靈系</t>
        </is>
      </c>
      <c r="D17" s="6" t="inlineStr">
        <is>
          <t>咒法；死靈</t>
        </is>
      </c>
      <c r="E17" s="6" t="n"/>
      <c r="F17" s="10" t="inlineStr">
        <is>
          <t>咒法；死靈</t>
        </is>
      </c>
      <c r="G17" s="8" t="inlineStr">
        <is>
          <t>跨學派法術，兩個學派都顯示、都搜得到</t>
        </is>
      </c>
      <c r="H17" s="11" t="n"/>
    </row>
    <row r="18">
      <c r="A18" s="6" t="inlineStr">
        <is>
          <t>威震天空</t>
        </is>
      </c>
      <c r="B18" s="8" t="inlineStr">
        <is>
          <t>Lord Of The Sky</t>
        </is>
      </c>
      <c r="C18" s="8" t="inlineStr">
        <is>
          <t>塑能［電］/變化</t>
        </is>
      </c>
      <c r="D18" s="6" t="inlineStr">
        <is>
          <t>塑能；變化</t>
        </is>
      </c>
      <c r="E18" s="6" t="n"/>
      <c r="F18" s="10" t="inlineStr">
        <is>
          <t>塑能；變化</t>
        </is>
      </c>
      <c r="G18" s="8" t="inlineStr">
        <is>
          <t>跨學派法術，兩個學派都顯示、都搜得到</t>
        </is>
      </c>
      <c r="H18" s="11" t="n"/>
    </row>
    <row r="19">
      <c r="A19" s="6" t="inlineStr">
        <is>
          <t>飛沙走石</t>
        </is>
      </c>
      <c r="B19" s="8" t="inlineStr">
        <is>
          <t>Passage Of The Shifting Sand</t>
        </is>
      </c>
      <c r="C19" s="8" t="inlineStr">
        <is>
          <t>變化系/塑能系［氣］</t>
        </is>
      </c>
      <c r="D19" s="6" t="inlineStr">
        <is>
          <t>塑能；變化</t>
        </is>
      </c>
      <c r="E19" s="6" t="n"/>
      <c r="F19" s="10" t="inlineStr">
        <is>
          <t>塑能；變化</t>
        </is>
      </c>
      <c r="G19" s="8" t="inlineStr">
        <is>
          <t>跨學派法術，兩個學派都顯示、都搜得到</t>
        </is>
      </c>
      <c r="H19" s="11" t="n"/>
    </row>
    <row r="20">
      <c r="A20" s="6" t="inlineStr">
        <is>
          <t>異界抗力</t>
        </is>
      </c>
      <c r="B20" s="8" t="inlineStr">
        <is>
          <t>Planar Tolerance</t>
        </is>
      </c>
      <c r="C20" s="8" t="n"/>
      <c r="D20" s="6" t="inlineStr">
        <is>
          <t>（無）</t>
        </is>
      </c>
      <c r="E20" s="6" t="n"/>
      <c r="F20" s="10" t="inlineStr">
        <is>
          <t>防護</t>
        </is>
      </c>
      <c r="G20" s="8" t="inlineStr">
        <is>
          <t>學派欄空白；D&amp;D 原書為 Abjuration</t>
        </is>
      </c>
      <c r="H20" s="11" t="n"/>
    </row>
    <row r="21" ht="15.75" customHeight="1" s="14">
      <c r="A21" s="6" t="inlineStr">
        <is>
          <t>古時糟粕</t>
        </is>
      </c>
      <c r="B21" s="8" t="inlineStr">
        <is>
          <t>Rot Of Ages</t>
        </is>
      </c>
      <c r="C21" s="8" t="inlineStr">
        <is>
          <t>咒法系（創造）/死靈系</t>
        </is>
      </c>
      <c r="D21" s="6" t="inlineStr">
        <is>
          <t>咒法；死靈</t>
        </is>
      </c>
      <c r="E21" s="6" t="n"/>
      <c r="F21" s="10" t="inlineStr">
        <is>
          <t>咒法；死靈</t>
        </is>
      </c>
      <c r="G21" s="8" t="inlineStr">
        <is>
          <t>跨學派法術，兩個學派都顯示、都搜得到</t>
        </is>
      </c>
      <c r="H21" s="11" t="n"/>
    </row>
    <row r="22" ht="15.75" customHeight="1" s="14">
      <c r="A22" s="6" t="inlineStr">
        <is>
          <t>幻術系</t>
        </is>
      </c>
      <c r="B22" s="8" t="inlineStr">
        <is>
          <t>Shadow</t>
        </is>
      </c>
      <c r="C22" s="8" t="n"/>
      <c r="D22" s="6" t="inlineStr">
        <is>
          <t>（無）</t>
        </is>
      </c>
      <c r="E22" s="6" t="inlineStr">
        <is>
          <t>Evocation</t>
        </is>
      </c>
      <c r="F22" s="10" t="inlineStr">
        <is>
          <t>幻術</t>
        </is>
      </c>
      <c r="G22" s="8" t="inlineStr">
        <is>
          <t>法術名稱擷取錯誤（中文名變成「幻術系」），應是幽影塑能術（Shadow Evocation）</t>
        </is>
      </c>
      <c r="H22" s="11" t="n"/>
    </row>
    <row r="23" ht="15.75" customHeight="1" s="14">
      <c r="A23" s="6" t="inlineStr">
        <is>
          <t>幻術系</t>
        </is>
      </c>
      <c r="B23" s="8" t="inlineStr">
        <is>
          <t>Shadow</t>
        </is>
      </c>
      <c r="C23" s="8" t="n"/>
      <c r="D23" s="6" t="inlineStr">
        <is>
          <t>（無）</t>
        </is>
      </c>
      <c r="E23" s="6" t="n"/>
      <c r="F23" s="10" t="inlineStr">
        <is>
          <t>幻術</t>
        </is>
      </c>
      <c r="G23" s="8" t="inlineStr">
        <is>
          <t>法術名稱擷取錯誤（中文名變成「幻術系」），應是高等幽影塑能術（Greater Shadow Evocation）</t>
        </is>
      </c>
      <c r="H23" s="11" t="n"/>
    </row>
    <row r="24" ht="15.75" customHeight="1" s="14">
      <c r="A24" s="6" t="inlineStr">
        <is>
          <t>陰影爆破</t>
        </is>
      </c>
      <c r="B24" s="8" t="inlineStr">
        <is>
          <t>SHADOWBLAST</t>
        </is>
      </c>
      <c r="C24" s="8" t="inlineStr">
        <is>
          <t>招魂</t>
        </is>
      </c>
      <c r="D24" s="6" t="inlineStr">
        <is>
          <t>（無）</t>
        </is>
      </c>
      <c r="E24" s="6" t="inlineStr">
        <is>
          <t>Evocation</t>
        </is>
      </c>
      <c r="F24" s="10" t="inlineStr">
        <is>
          <t>塑能</t>
        </is>
      </c>
      <c r="G24" s="8" t="inlineStr">
        <is>
          <t>「招魂」是 Evocation 的誤譯</t>
        </is>
      </c>
      <c r="H24" s="11" t="n"/>
    </row>
    <row r="25" ht="15.75" customHeight="1" s="14">
      <c r="A25" s="6" t="inlineStr">
        <is>
          <t>碎片風暴</t>
        </is>
      </c>
      <c r="B25" s="8" t="inlineStr">
        <is>
          <t>SHARD STORM</t>
        </is>
      </c>
      <c r="C25" s="8" t="inlineStr">
        <is>
          <t>招魂</t>
        </is>
      </c>
      <c r="D25" s="6" t="inlineStr">
        <is>
          <t>（無）</t>
        </is>
      </c>
      <c r="E25" s="6" t="inlineStr">
        <is>
          <t>Evocation</t>
        </is>
      </c>
      <c r="F25" s="10" t="inlineStr">
        <is>
          <t>塑能</t>
        </is>
      </c>
      <c r="G25" s="8" t="inlineStr">
        <is>
          <t>「招魂」是 Evocation 的誤譯</t>
        </is>
      </c>
      <c r="H25" s="11" t="n"/>
    </row>
    <row r="26" ht="15.75" customHeight="1" s="14">
      <c r="A26" s="6" t="inlineStr">
        <is>
          <t>碎地術</t>
        </is>
      </c>
      <c r="B26" s="8" t="inlineStr">
        <is>
          <t>SHATTERFLOOR</t>
        </is>
      </c>
      <c r="C26" s="8" t="inlineStr">
        <is>
          <t>招魂</t>
        </is>
      </c>
      <c r="D26" s="6" t="inlineStr">
        <is>
          <t>（無）</t>
        </is>
      </c>
      <c r="E26" s="6" t="inlineStr">
        <is>
          <t>Evocation</t>
        </is>
      </c>
      <c r="F26" s="10" t="inlineStr">
        <is>
          <t>塑能</t>
        </is>
      </c>
      <c r="G26" s="8" t="inlineStr">
        <is>
          <t>「招魂」是 Evocation 的誤譯</t>
        </is>
      </c>
      <c r="H26" s="11" t="n"/>
    </row>
    <row r="27" ht="15.75" customHeight="1" s="14">
      <c r="A27" s="6" t="inlineStr">
        <is>
          <t>結界之盾</t>
        </is>
      </c>
      <c r="B27" s="8" t="inlineStr">
        <is>
          <t>Shield Of Warding</t>
        </is>
      </c>
      <c r="C27" s="8" t="inlineStr">
        <is>
          <t>放棄</t>
        </is>
      </c>
      <c r="D27" s="6" t="inlineStr">
        <is>
          <t>（無）</t>
        </is>
      </c>
      <c r="E27" s="6" t="inlineStr">
        <is>
          <t>Abjuration</t>
        </is>
      </c>
      <c r="F27" s="10" t="inlineStr">
        <is>
          <t>防護</t>
        </is>
      </c>
      <c r="G27" s="8" t="inlineStr">
        <is>
          <t>「放棄」是 Abjuration 的誤譯，原文為 Abjuration</t>
        </is>
      </c>
      <c r="H27" s="11" t="n"/>
    </row>
    <row r="28" ht="15.75" customHeight="1" s="14">
      <c r="A28" s="6" t="inlineStr">
        <is>
          <t>火焰罩衣</t>
        </is>
      </c>
      <c r="B28" s="8" t="inlineStr">
        <is>
          <t>SHROUD OF FLAME</t>
        </is>
      </c>
      <c r="C28" s="8" t="inlineStr">
        <is>
          <t>招魂</t>
        </is>
      </c>
      <c r="D28" s="6" t="inlineStr">
        <is>
          <t>（無）</t>
        </is>
      </c>
      <c r="E28" s="6" t="inlineStr">
        <is>
          <t>Evocation</t>
        </is>
      </c>
      <c r="F28" s="10" t="inlineStr">
        <is>
          <t>塑能</t>
        </is>
      </c>
      <c r="G28" s="8" t="inlineStr">
        <is>
          <t>「招魂」是 Evocation 的誤譯</t>
        </is>
      </c>
      <c r="H28" s="11" t="n"/>
    </row>
    <row r="29" ht="15.75" customHeight="1" s="14">
      <c r="A29" s="6" t="inlineStr">
        <is>
          <t>徵兆術</t>
        </is>
      </c>
      <c r="B29" s="8" t="inlineStr">
        <is>
          <t>SIGN</t>
        </is>
      </c>
      <c r="C29" s="8" t="inlineStr">
        <is>
          <t>魅力</t>
        </is>
      </c>
      <c r="D29" s="6" t="inlineStr">
        <is>
          <t>（無）</t>
        </is>
      </c>
      <c r="E29" s="6" t="inlineStr">
        <is>
          <t>Enchantment</t>
        </is>
      </c>
      <c r="F29" s="10" t="inlineStr">
        <is>
          <t>惑控</t>
        </is>
      </c>
      <c r="G29" s="8" t="inlineStr">
        <is>
          <t>「魅力」是 Enchantment 的誤譯，原文為 Enchantment</t>
        </is>
      </c>
      <c r="H29" s="11" t="n"/>
    </row>
    <row r="30" ht="15.75" customHeight="1" s="14">
      <c r="A30" s="6" t="inlineStr">
        <is>
          <t>掌摑之手</t>
        </is>
      </c>
      <c r="B30" s="8" t="inlineStr">
        <is>
          <t>SLAPPING HAND</t>
        </is>
      </c>
      <c r="C30" s="8" t="inlineStr">
        <is>
          <t>招魂</t>
        </is>
      </c>
      <c r="D30" s="6" t="inlineStr">
        <is>
          <t>（無）</t>
        </is>
      </c>
      <c r="E30" s="6" t="inlineStr">
        <is>
          <t>Evocation</t>
        </is>
      </c>
      <c r="F30" s="10" t="inlineStr">
        <is>
          <t>塑能</t>
        </is>
      </c>
      <c r="G30" s="8" t="inlineStr">
        <is>
          <t>「招魂」是 Evocation 的誤譯</t>
        </is>
      </c>
      <c r="H30" s="11" t="n"/>
    </row>
    <row r="31" ht="15.75" customHeight="1" s="14">
      <c r="A31" s="6" t="inlineStr">
        <is>
          <t>裂魔消解</t>
        </is>
      </c>
      <c r="B31" s="8" t="inlineStr">
        <is>
          <t>Slashing Dispel</t>
        </is>
      </c>
      <c r="C31" s="8" t="inlineStr">
        <is>
          <t>防護/塑能系</t>
        </is>
      </c>
      <c r="D31" s="6" t="inlineStr">
        <is>
          <t>防護；塑能</t>
        </is>
      </c>
      <c r="E31" s="6" t="n"/>
      <c r="F31" s="10" t="inlineStr">
        <is>
          <t>防護；塑能</t>
        </is>
      </c>
      <c r="G31" s="8" t="inlineStr">
        <is>
          <t>跨學派法術，兩個學派都顯示、都搜得到</t>
        </is>
      </c>
      <c r="H31" s="11" t="n"/>
    </row>
    <row r="32" ht="15.75" customHeight="1" s="14">
      <c r="A32" s="6" t="inlineStr">
        <is>
          <t>暴蛛之禍</t>
        </is>
      </c>
      <c r="B32" s="8" t="inlineStr">
        <is>
          <t>Spider Plague</t>
        </is>
      </c>
      <c r="C32" s="8" t="inlineStr">
        <is>
          <t>咒法系 （召喚） [見下文]</t>
        </is>
      </c>
      <c r="D32" s="6" t="inlineStr">
        <is>
          <t>咒法</t>
        </is>
      </c>
      <c r="E32" s="6" t="n"/>
      <c r="F32" s="10" t="inlineStr">
        <is>
          <t>咒法</t>
        </is>
      </c>
      <c r="G32" s="8" t="inlineStr">
        <is>
          <t>需要確認</t>
        </is>
      </c>
      <c r="H32" s="11" t="n"/>
    </row>
    <row r="33" ht="15.75" customHeight="1" s="14">
      <c r="A33" s="6" t="inlineStr">
        <is>
          <t>沙塵風暴</t>
        </is>
      </c>
      <c r="B33" s="8" t="inlineStr">
        <is>
          <t>Storm Mote</t>
        </is>
      </c>
      <c r="C33" s="8" t="inlineStr">
        <is>
          <t>10 10 塑能系</t>
        </is>
      </c>
      <c r="D33" s="6" t="inlineStr">
        <is>
          <t>塑能</t>
        </is>
      </c>
      <c r="E33" s="6" t="n"/>
      <c r="F33" s="10" t="inlineStr">
        <is>
          <t>塑能</t>
        </is>
      </c>
      <c r="G33" s="8" t="inlineStr">
        <is>
          <t>學派欄開頭混入「10 10」，可順便清理</t>
        </is>
      </c>
      <c r="H33" s="11" t="n"/>
    </row>
    <row r="34" ht="15.75" customHeight="1" s="14">
      <c r="A34" s="6" t="inlineStr">
        <is>
          <t>全知之眼</t>
        </is>
      </c>
      <c r="B34" s="8" t="inlineStr">
        <is>
          <t>Vision Of The Omniscient Eye</t>
        </is>
      </c>
      <c r="C34" s="8" t="inlineStr">
        <is>
          <t>預言/塑能［光］</t>
        </is>
      </c>
      <c r="D34" s="6" t="inlineStr">
        <is>
          <t>預言；塑能</t>
        </is>
      </c>
      <c r="E34" s="6" t="n"/>
      <c r="F34" s="10" t="inlineStr">
        <is>
          <t>預言；塑能</t>
        </is>
      </c>
      <c r="G34" s="8" t="inlineStr">
        <is>
          <t>跨學派法術，兩個學派都顯示、都搜得到</t>
        </is>
      </c>
      <c r="H34" s="11" t="n"/>
    </row>
    <row r="35" ht="15.75" customHeight="1" s="14">
      <c r="A35" s="6" t="inlineStr">
        <is>
          <t>腋生清風</t>
        </is>
      </c>
      <c r="B35" s="8" t="inlineStr">
        <is>
          <t>Wingblast</t>
        </is>
      </c>
      <c r="C35" s="8" t="inlineStr">
        <is>
          <t>塑能［氣］/變化</t>
        </is>
      </c>
      <c r="D35" s="6" t="inlineStr">
        <is>
          <t>塑能；變化</t>
        </is>
      </c>
      <c r="E35" s="6" t="n"/>
      <c r="F35" s="10" t="inlineStr">
        <is>
          <t>塑能；變化</t>
        </is>
      </c>
      <c r="G35" s="8" t="inlineStr">
        <is>
          <t>跨學派法術，兩個學派都顯示、都搜得到</t>
        </is>
      </c>
      <c r="H35" s="11" t="n"/>
    </row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autoFilter ref="$A$1:$H$35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0" customWidth="1" style="14" min="1" max="1"/>
    <col width="9" customWidth="1" style="14" min="2" max="2"/>
    <col width="26" customWidth="1" style="14" min="3" max="3"/>
    <col width="12" customWidth="1" style="14" min="4" max="4"/>
    <col width="14" customWidth="1" style="14" min="5" max="5"/>
    <col width="56" customWidth="1" style="14" min="6" max="6"/>
    <col width="8.710000000000001" customWidth="1" style="14" min="7" max="26"/>
  </cols>
  <sheetData>
    <row r="1" ht="30" customHeight="1" s="14">
      <c r="A1" s="4" t="inlineStr">
        <is>
          <t>標準名稱</t>
        </is>
      </c>
      <c r="B1" s="4" t="inlineStr">
        <is>
          <t>類別</t>
        </is>
      </c>
      <c r="C1" s="4" t="inlineStr">
        <is>
          <t>英文名稱</t>
        </is>
      </c>
      <c r="D1" s="4" t="inlineStr">
        <is>
          <t>對應寫法數</t>
        </is>
      </c>
      <c r="E1" s="4" t="inlineStr">
        <is>
          <t>等級資料筆數</t>
        </is>
      </c>
      <c r="F1" s="4" t="inlineStr">
        <is>
          <t>說明</t>
        </is>
      </c>
    </row>
    <row r="2">
      <c r="A2" s="10" t="inlineStr">
        <is>
          <t>術士</t>
        </is>
      </c>
      <c r="B2" s="10" t="inlineStr">
        <is>
          <t>職業</t>
        </is>
      </c>
      <c r="C2" s="10" t="inlineStr">
        <is>
          <t>Sorcerer</t>
        </is>
      </c>
      <c r="D2" s="6">
        <f>SUMPRODUCT(--ISNUMBER(SEARCH("；"&amp;$A2&amp;"；","；"&amp;SUBSTITUTE('職業對照'!$G$2:$G$208,";","；")&amp;"；")))</f>
        <v/>
      </c>
      <c r="E2" s="6">
        <f>SUMPRODUCT(ISNUMBER(SEARCH("；"&amp;$A2&amp;"；","；"&amp;SUBSTITUTE('職業對照'!$G$2:$G$208,";","；")&amp;"；"))*'職業對照'!$C$2:$C$208)</f>
        <v/>
      </c>
      <c r="F2" s="11" t="n"/>
    </row>
    <row r="3">
      <c r="A3" s="10" t="inlineStr">
        <is>
          <t>法師</t>
        </is>
      </c>
      <c r="B3" s="10" t="inlineStr">
        <is>
          <t>職業</t>
        </is>
      </c>
      <c r="C3" s="10" t="inlineStr">
        <is>
          <t>Wizard</t>
        </is>
      </c>
      <c r="D3" s="6">
        <f>SUMPRODUCT(--ISNUMBER(SEARCH("；"&amp;$A3&amp;"；","；"&amp;SUBSTITUTE('職業對照'!$G$2:$G$208,";","；")&amp;"；")))</f>
        <v/>
      </c>
      <c r="E3" s="6">
        <f>SUMPRODUCT(ISNUMBER(SEARCH("；"&amp;$A3&amp;"；","；"&amp;SUBSTITUTE('職業對照'!$G$2:$G$208,";","；")&amp;"；"))*'職業對照'!$C$2:$C$208)</f>
        <v/>
      </c>
      <c r="F3" s="11" t="n"/>
    </row>
    <row r="4">
      <c r="A4" s="10" t="inlineStr">
        <is>
          <t>牧師</t>
        </is>
      </c>
      <c r="B4" s="10" t="inlineStr">
        <is>
          <t>職業</t>
        </is>
      </c>
      <c r="C4" s="10" t="inlineStr">
        <is>
          <t>Cleric</t>
        </is>
      </c>
      <c r="D4" s="6">
        <f>SUMPRODUCT(--ISNUMBER(SEARCH("；"&amp;$A4&amp;"；","；"&amp;SUBSTITUTE('職業對照'!$G$2:$G$208,";","；")&amp;"；")))</f>
        <v/>
      </c>
      <c r="E4" s="6">
        <f>SUMPRODUCT(ISNUMBER(SEARCH("；"&amp;$A4&amp;"；","；"&amp;SUBSTITUTE('職業對照'!$G$2:$G$208,";","；")&amp;"；"))*'職業對照'!$C$2:$C$208)</f>
        <v/>
      </c>
      <c r="F4" s="11" t="n"/>
    </row>
    <row r="5">
      <c r="A5" s="10" t="inlineStr">
        <is>
          <t>德魯伊</t>
        </is>
      </c>
      <c r="B5" s="10" t="inlineStr">
        <is>
          <t>職業</t>
        </is>
      </c>
      <c r="C5" s="10" t="inlineStr">
        <is>
          <t>Druid</t>
        </is>
      </c>
      <c r="D5" s="6">
        <f>SUMPRODUCT(--ISNUMBER(SEARCH("；"&amp;$A5&amp;"；","；"&amp;SUBSTITUTE('職業對照'!$G$2:$G$208,";","；")&amp;"；")))</f>
        <v/>
      </c>
      <c r="E5" s="6">
        <f>SUMPRODUCT(ISNUMBER(SEARCH("；"&amp;$A5&amp;"；","；"&amp;SUBSTITUTE('職業對照'!$G$2:$G$208,";","；")&amp;"；"))*'職業對照'!$C$2:$C$208)</f>
        <v/>
      </c>
      <c r="F5" s="11" t="n"/>
    </row>
    <row r="6">
      <c r="A6" s="10" t="inlineStr">
        <is>
          <t>吟遊詩人</t>
        </is>
      </c>
      <c r="B6" s="10" t="inlineStr">
        <is>
          <t>職業</t>
        </is>
      </c>
      <c r="C6" s="10" t="inlineStr">
        <is>
          <t>Bard</t>
        </is>
      </c>
      <c r="D6" s="6">
        <f>SUMPRODUCT(--ISNUMBER(SEARCH("；"&amp;$A6&amp;"；","；"&amp;SUBSTITUTE('職業對照'!$G$2:$G$208,";","；")&amp;"；")))</f>
        <v/>
      </c>
      <c r="E6" s="6">
        <f>SUMPRODUCT(ISNUMBER(SEARCH("；"&amp;$A6&amp;"；","；"&amp;SUBSTITUTE('職業對照'!$G$2:$G$208,";","；")&amp;"；"))*'職業對照'!$C$2:$C$208)</f>
        <v/>
      </c>
      <c r="F6" s="11" t="n"/>
    </row>
    <row r="7">
      <c r="A7" s="10" t="inlineStr">
        <is>
          <t>遊俠</t>
        </is>
      </c>
      <c r="B7" s="10" t="inlineStr">
        <is>
          <t>職業</t>
        </is>
      </c>
      <c r="C7" s="10" t="inlineStr">
        <is>
          <t>Ranger</t>
        </is>
      </c>
      <c r="D7" s="6">
        <f>SUMPRODUCT(--ISNUMBER(SEARCH("；"&amp;$A7&amp;"；","；"&amp;SUBSTITUTE('職業對照'!$G$2:$G$208,";","；")&amp;"；")))</f>
        <v/>
      </c>
      <c r="E7" s="6">
        <f>SUMPRODUCT(ISNUMBER(SEARCH("；"&amp;$A7&amp;"；","；"&amp;SUBSTITUTE('職業對照'!$G$2:$G$208,";","；")&amp;"；"))*'職業對照'!$C$2:$C$208)</f>
        <v/>
      </c>
      <c r="F7" s="11" t="inlineStr">
        <is>
          <t>原文另有「巡林客」譯名</t>
        </is>
      </c>
    </row>
    <row r="8">
      <c r="A8" s="10" t="inlineStr">
        <is>
          <t>聖武士</t>
        </is>
      </c>
      <c r="B8" s="10" t="inlineStr">
        <is>
          <t>職業</t>
        </is>
      </c>
      <c r="C8" s="10" t="inlineStr">
        <is>
          <t>Paladin</t>
        </is>
      </c>
      <c r="D8" s="6">
        <f>SUMPRODUCT(--ISNUMBER(SEARCH("；"&amp;$A8&amp;"；","；"&amp;SUBSTITUTE('職業對照'!$G$2:$G$208,";","；")&amp;"；")))</f>
        <v/>
      </c>
      <c r="E8" s="6">
        <f>SUMPRODUCT(ISNUMBER(SEARCH("；"&amp;$A8&amp;"；","；"&amp;SUBSTITUTE('職業對照'!$G$2:$G$208,";","；")&amp;"；"))*'職業對照'!$C$2:$C$208)</f>
        <v/>
      </c>
      <c r="F8" s="11" t="n"/>
    </row>
    <row r="9">
      <c r="A9" s="10" t="inlineStr">
        <is>
          <t>巫覡</t>
        </is>
      </c>
      <c r="B9" s="10" t="inlineStr">
        <is>
          <t>職業</t>
        </is>
      </c>
      <c r="C9" s="10" t="inlineStr">
        <is>
          <t>Wu Jen</t>
        </is>
      </c>
      <c r="D9" s="6">
        <f>SUMPRODUCT(--ISNUMBER(SEARCH("；"&amp;$A9&amp;"；","；"&amp;SUBSTITUTE('職業對照'!$G$2:$G$208,";","；")&amp;"；")))</f>
        <v/>
      </c>
      <c r="E9" s="6">
        <f>SUMPRODUCT(ISNUMBER(SEARCH("；"&amp;$A9&amp;"；","；"&amp;SUBSTITUTE('職業對照'!$G$2:$G$208,";","；")&amp;"；"))*'職業對照'!$C$2:$C$208)</f>
        <v/>
      </c>
      <c r="F9" s="11" t="inlineStr">
        <is>
          <t>巫覡（Wu Jen），等級備註中的金木水火土是它的元素</t>
        </is>
      </c>
    </row>
    <row r="10">
      <c r="A10" s="10" t="inlineStr">
        <is>
          <t>刺客</t>
        </is>
      </c>
      <c r="B10" s="10" t="inlineStr">
        <is>
          <t>職業</t>
        </is>
      </c>
      <c r="C10" s="10" t="inlineStr">
        <is>
          <t>Assassin</t>
        </is>
      </c>
      <c r="D10" s="6">
        <f>SUMPRODUCT(--ISNUMBER(SEARCH("；"&amp;$A10&amp;"；","；"&amp;SUBSTITUTE('職業對照'!$G$2:$G$208,";","；")&amp;"；")))</f>
        <v/>
      </c>
      <c r="E10" s="6">
        <f>SUMPRODUCT(ISNUMBER(SEARCH("；"&amp;$A10&amp;"；","；"&amp;SUBSTITUTE('職業對照'!$G$2:$G$208,";","；")&amp;"；"))*'職業對照'!$C$2:$C$208)</f>
        <v/>
      </c>
      <c r="F10" s="11" t="n"/>
    </row>
    <row r="11">
      <c r="A11" s="10" t="inlineStr">
        <is>
          <t>暗黑衛士</t>
        </is>
      </c>
      <c r="B11" s="10" t="inlineStr">
        <is>
          <t>職業</t>
        </is>
      </c>
      <c r="C11" s="10" t="inlineStr">
        <is>
          <t>Blackguard</t>
        </is>
      </c>
      <c r="D11" s="6">
        <f>SUMPRODUCT(--ISNUMBER(SEARCH("；"&amp;$A11&amp;"；","；"&amp;SUBSTITUTE('職業對照'!$G$2:$G$208,";","；")&amp;"；")))</f>
        <v/>
      </c>
      <c r="E11" s="6">
        <f>SUMPRODUCT(ISNUMBER(SEARCH("；"&amp;$A11&amp;"；","；"&amp;SUBSTITUTE('職業對照'!$G$2:$G$208,";","；")&amp;"；"))*'職業對照'!$C$2:$C$208)</f>
        <v/>
      </c>
      <c r="F11" s="11" t="inlineStr">
        <is>
          <t>合併了黑暗衛士、黑衛、黑衛士、黑暗守衛</t>
        </is>
      </c>
    </row>
    <row r="12">
      <c r="A12" s="10" t="inlineStr">
        <is>
          <t>暮刃</t>
        </is>
      </c>
      <c r="B12" s="10" t="inlineStr">
        <is>
          <t>職業</t>
        </is>
      </c>
      <c r="C12" s="10" t="inlineStr">
        <is>
          <t>Duskblade</t>
        </is>
      </c>
      <c r="D12" s="6">
        <f>SUMPRODUCT(--ISNUMBER(SEARCH("；"&amp;$A12&amp;"；","；"&amp;SUBSTITUTE('職業對照'!$G$2:$G$208,";","；")&amp;"；")))</f>
        <v/>
      </c>
      <c r="E12" s="6">
        <f>SUMPRODUCT(ISNUMBER(SEARCH("；"&amp;$A12&amp;"；","；"&amp;SUBSTITUTE('職業對照'!$G$2:$G$208,";","；")&amp;"；"))*'職業對照'!$C$2:$C$208)</f>
        <v/>
      </c>
      <c r="F12" s="11" t="inlineStr">
        <is>
          <t>合併了薄暮劍士</t>
        </is>
      </c>
    </row>
    <row r="13">
      <c r="A13" s="10" t="inlineStr">
        <is>
          <t>戰法師</t>
        </is>
      </c>
      <c r="B13" s="10" t="inlineStr">
        <is>
          <t>職業</t>
        </is>
      </c>
      <c r="C13" s="10" t="inlineStr">
        <is>
          <t>Warmage</t>
        </is>
      </c>
      <c r="D13" s="6">
        <f>SUMPRODUCT(--ISNUMBER(SEARCH("；"&amp;$A13&amp;"；","；"&amp;SUBSTITUTE('職業對照'!$G$2:$G$208,";","；")&amp;"；")))</f>
        <v/>
      </c>
      <c r="E13" s="6">
        <f>SUMPRODUCT(ISNUMBER(SEARCH("；"&amp;$A13&amp;"；","；"&amp;SUBSTITUTE('職業對照'!$G$2:$G$208,";","；")&amp;"；"))*'職業對照'!$C$2:$C$208)</f>
        <v/>
      </c>
      <c r="F13" s="11" t="n"/>
    </row>
    <row r="14">
      <c r="A14" s="10" t="inlineStr">
        <is>
          <t>和平使者</t>
        </is>
      </c>
      <c r="B14" s="10" t="inlineStr">
        <is>
          <t>職業</t>
        </is>
      </c>
      <c r="C14" s="10" t="inlineStr">
        <is>
          <t>Apostle of Peace</t>
        </is>
      </c>
      <c r="D14" s="6">
        <f>SUMPRODUCT(--ISNUMBER(SEARCH("；"&amp;$A14&amp;"；","；"&amp;SUBSTITUTE('職業對照'!$G$2:$G$208,";","；")&amp;"；")))</f>
        <v/>
      </c>
      <c r="E14" s="6">
        <f>SUMPRODUCT(ISNUMBER(SEARCH("；"&amp;$A14&amp;"；","；"&amp;SUBSTITUTE('職業對照'!$G$2:$G$208,";","；")&amp;"；"))*'職業對照'!$C$2:$C$208)</f>
        <v/>
      </c>
      <c r="F14" s="11" t="n"/>
    </row>
    <row r="15">
      <c r="A15" s="10" t="inlineStr">
        <is>
          <t>欺瞞者</t>
        </is>
      </c>
      <c r="B15" s="10" t="inlineStr">
        <is>
          <t>職業</t>
        </is>
      </c>
      <c r="C15" s="10" t="inlineStr">
        <is>
          <t>Beguiler</t>
        </is>
      </c>
      <c r="D15" s="6">
        <f>SUMPRODUCT(--ISNUMBER(SEARCH("；"&amp;$A15&amp;"；","；"&amp;SUBSTITUTE('職業對照'!$G$2:$G$208,";","；")&amp;"；")))</f>
        <v/>
      </c>
      <c r="E15" s="6">
        <f>SUMPRODUCT(ISNUMBER(SEARCH("；"&amp;$A15&amp;"；","；"&amp;SUBSTITUTE('職業對照'!$G$2:$G$208,";","；")&amp;"；"))*'職業對照'!$C$2:$C$208)</f>
        <v/>
      </c>
      <c r="F15" s="11" t="n"/>
    </row>
    <row r="16">
      <c r="A16" s="10" t="inlineStr">
        <is>
          <t>魔劍客</t>
        </is>
      </c>
      <c r="B16" s="10" t="inlineStr">
        <is>
          <t>職業</t>
        </is>
      </c>
      <c r="C16" s="10" t="inlineStr">
        <is>
          <t>Hexblade</t>
        </is>
      </c>
      <c r="D16" s="6">
        <f>SUMPRODUCT(--ISNUMBER(SEARCH("；"&amp;$A16&amp;"；","；"&amp;SUBSTITUTE('職業對照'!$G$2:$G$208,";","；")&amp;"；")))</f>
        <v/>
      </c>
      <c r="E16" s="6">
        <f>SUMPRODUCT(ISNUMBER(SEARCH("；"&amp;$A16&amp;"；","；"&amp;SUBSTITUTE('職業對照'!$G$2:$G$208,";","；")&amp;"；"))*'職業對照'!$C$2:$C$208)</f>
        <v/>
      </c>
      <c r="F16" s="11" t="inlineStr">
        <is>
          <t>「魔劍」1 筆也歸到這裡；合併了魔劍士</t>
        </is>
      </c>
    </row>
    <row r="17">
      <c r="A17" s="10" t="inlineStr">
        <is>
          <t>崇善秘法師</t>
        </is>
      </c>
      <c r="B17" s="10" t="inlineStr">
        <is>
          <t>職業</t>
        </is>
      </c>
      <c r="C17" s="10" t="n"/>
      <c r="D17" s="6">
        <f>SUMPRODUCT(--ISNUMBER(SEARCH("；"&amp;$A17&amp;"；","；"&amp;SUBSTITUTE('職業對照'!$G$2:$G$208,";","；")&amp;"；")))</f>
        <v/>
      </c>
      <c r="E17" s="6">
        <f>SUMPRODUCT(ISNUMBER(SEARCH("；"&amp;$A17&amp;"；","；"&amp;SUBSTITUTE('職業對照'!$G$2:$G$208,";","；")&amp;"；"))*'職業對照'!$C$2:$C$208)</f>
        <v/>
      </c>
      <c r="F17" s="11" t="inlineStr">
        <is>
          <t>進階職業</t>
        </is>
      </c>
    </row>
    <row r="18">
      <c r="A18" s="10" t="inlineStr">
        <is>
          <t>機關術士</t>
        </is>
      </c>
      <c r="B18" s="10" t="inlineStr">
        <is>
          <t>職業</t>
        </is>
      </c>
      <c r="C18" s="10" t="inlineStr">
        <is>
          <t>Artificer</t>
        </is>
      </c>
      <c r="D18" s="6">
        <f>SUMPRODUCT(--ISNUMBER(SEARCH("；"&amp;$A18&amp;"；","；"&amp;SUBSTITUTE('職業對照'!$G$2:$G$208,";","；")&amp;"；")))</f>
        <v/>
      </c>
      <c r="E18" s="6">
        <f>SUMPRODUCT(ISNUMBER(SEARCH("；"&amp;$A18&amp;"；","；"&amp;SUBSTITUTE('職業對照'!$G$2:$G$208,";","；")&amp;"；"))*'職業對照'!$C$2:$C$208)</f>
        <v/>
      </c>
      <c r="F18" s="11" t="n"/>
    </row>
    <row r="19">
      <c r="A19" s="10" t="inlineStr">
        <is>
          <t>修驗者</t>
        </is>
      </c>
      <c r="B19" s="10" t="inlineStr">
        <is>
          <t>職業</t>
        </is>
      </c>
      <c r="C19" s="10" t="inlineStr">
        <is>
          <t>Shugenja</t>
        </is>
      </c>
      <c r="D19" s="6">
        <f>SUMPRODUCT(--ISNUMBER(SEARCH("；"&amp;$A19&amp;"；","；"&amp;SUBSTITUTE('職業對照'!$G$2:$G$208,";","；")&amp;"；")))</f>
        <v/>
      </c>
      <c r="E19" s="6">
        <f>SUMPRODUCT(ISNUMBER(SEARCH("；"&amp;$A19&amp;"；","；"&amp;SUBSTITUTE('職業對照'!$G$2:$G$208,";","；")&amp;"；"))*'職業對照'!$C$2:$C$208)</f>
        <v/>
      </c>
      <c r="F19" s="11" t="inlineStr">
        <is>
          <t>修驗者（Shugenja）；合併了導師</t>
        </is>
      </c>
    </row>
    <row r="20">
      <c r="A20" s="10" t="inlineStr">
        <is>
          <t>格溫哈威夫鬥士</t>
        </is>
      </c>
      <c r="B20" s="10" t="inlineStr">
        <is>
          <t>職業</t>
        </is>
      </c>
      <c r="C20" s="10" t="inlineStr">
        <is>
          <t>Champion of Gwynharwyf</t>
        </is>
      </c>
      <c r="D20" s="6">
        <f>SUMPRODUCT(--ISNUMBER(SEARCH("；"&amp;$A20&amp;"；","；"&amp;SUBSTITUTE('職業對照'!$G$2:$G$208,";","；")&amp;"；")))</f>
        <v/>
      </c>
      <c r="E20" s="6">
        <f>SUMPRODUCT(ISNUMBER(SEARCH("；"&amp;$A20&amp;"；","；"&amp;SUBSTITUTE('職業對照'!$G$2:$G$208,";","；")&amp;"；"))*'職業對照'!$C$2:$C$208)</f>
        <v/>
      </c>
      <c r="F20" s="11" t="n"/>
    </row>
    <row r="21" ht="15.75" customHeight="1" s="14">
      <c r="A21" s="10" t="inlineStr">
        <is>
          <t>法爾賴恩的愛人</t>
        </is>
      </c>
      <c r="B21" s="10" t="inlineStr">
        <is>
          <t>職業</t>
        </is>
      </c>
      <c r="C21" s="10" t="inlineStr">
        <is>
          <t>Beloved of Valarian</t>
        </is>
      </c>
      <c r="D21" s="6">
        <f>SUMPRODUCT(--ISNUMBER(SEARCH("；"&amp;$A21&amp;"；","；"&amp;SUBSTITUTE('職業對照'!$G$2:$G$208,";","；")&amp;"；")))</f>
        <v/>
      </c>
      <c r="E21" s="6">
        <f>SUMPRODUCT(ISNUMBER(SEARCH("；"&amp;$A21&amp;"；","；"&amp;SUBSTITUTE('職業對照'!$G$2:$G$208,";","；")&amp;"；"))*'職業對照'!$C$2:$C$208)</f>
        <v/>
      </c>
      <c r="F21" s="11" t="n"/>
    </row>
    <row r="22" ht="15.75" customHeight="1" s="14">
      <c r="A22" s="10" t="inlineStr">
        <is>
          <t>信使</t>
        </is>
      </c>
      <c r="B22" s="10" t="inlineStr">
        <is>
          <t>職業</t>
        </is>
      </c>
      <c r="C22" s="10" t="n"/>
      <c r="D22" s="6">
        <f>SUMPRODUCT(--ISNUMBER(SEARCH("；"&amp;$A22&amp;"；","；"&amp;SUBSTITUTE('職業對照'!$G$2:$G$208,";","；")&amp;"；")))</f>
        <v/>
      </c>
      <c r="E22" s="6">
        <f>SUMPRODUCT(ISNUMBER(SEARCH("；"&amp;$A22&amp;"；","；"&amp;SUBSTITUTE('職業對照'!$G$2:$G$208,";","；")&amp;"；"))*'職業對照'!$C$2:$C$208)</f>
        <v/>
      </c>
      <c r="F22" s="11" t="n"/>
    </row>
    <row r="23" ht="15.75" customHeight="1" s="14">
      <c r="A23" s="10" t="inlineStr">
        <is>
          <t>多米艾爾的屠戮者</t>
        </is>
      </c>
      <c r="B23" s="10" t="inlineStr">
        <is>
          <t>職業</t>
        </is>
      </c>
      <c r="C23" s="10" t="inlineStr">
        <is>
          <t>Slayer of Domiel</t>
        </is>
      </c>
      <c r="D23" s="6">
        <f>SUMPRODUCT(--ISNUMBER(SEARCH("；"&amp;$A23&amp;"；","；"&amp;SUBSTITUTE('職業對照'!$G$2:$G$208,";","；")&amp;"；")))</f>
        <v/>
      </c>
      <c r="E23" s="6">
        <f>SUMPRODUCT(ISNUMBER(SEARCH("；"&amp;$A23&amp;"；","；"&amp;SUBSTITUTE('職業對照'!$G$2:$G$208,";","；")&amp;"；"))*'職業對照'!$C$2:$C$208)</f>
        <v/>
      </c>
      <c r="F23" s="11" t="n"/>
    </row>
    <row r="24" ht="15.75" customHeight="1" s="14">
      <c r="A24" s="10" t="inlineStr">
        <is>
          <t>巴拉契艾爾的密使</t>
        </is>
      </c>
      <c r="B24" s="10" t="inlineStr">
        <is>
          <t>職業</t>
        </is>
      </c>
      <c r="C24" s="10" t="inlineStr">
        <is>
          <t>Emissary of Barachiel</t>
        </is>
      </c>
      <c r="D24" s="6">
        <f>SUMPRODUCT(--ISNUMBER(SEARCH("；"&amp;$A24&amp;"；","；"&amp;SUBSTITUTE('職業對照'!$G$2:$G$208,";","；")&amp;"；")))</f>
        <v/>
      </c>
      <c r="E24" s="6">
        <f>SUMPRODUCT(ISNUMBER(SEARCH("；"&amp;$A24&amp;"；","；"&amp;SUBSTITUTE('職業對照'!$G$2:$G$208,";","；")&amp;"；"))*'職業對照'!$C$2:$C$208)</f>
        <v/>
      </c>
      <c r="F24" s="11" t="n"/>
    </row>
    <row r="25" ht="15.75" customHeight="1" s="14">
      <c r="A25" s="10" t="inlineStr">
        <is>
          <t>巴哈姆特封臣</t>
        </is>
      </c>
      <c r="B25" s="10" t="inlineStr">
        <is>
          <t>職業</t>
        </is>
      </c>
      <c r="C25" s="10" t="inlineStr">
        <is>
          <t>Vassal of Bahamut</t>
        </is>
      </c>
      <c r="D25" s="6">
        <f>SUMPRODUCT(--ISNUMBER(SEARCH("；"&amp;$A25&amp;"；","；"&amp;SUBSTITUTE('職業對照'!$G$2:$G$208,";","；")&amp;"；")))</f>
        <v/>
      </c>
      <c r="E25" s="6">
        <f>SUMPRODUCT(ISNUMBER(SEARCH("；"&amp;$A25&amp;"；","；"&amp;SUBSTITUTE('職業對照'!$G$2:$G$208,";","；")&amp;"；"))*'職業對照'!$C$2:$C$208)</f>
        <v/>
      </c>
      <c r="F25" s="11" t="n"/>
    </row>
    <row r="26" ht="15.75" customHeight="1" s="14">
      <c r="A26" s="10" t="inlineStr">
        <is>
          <t>治療師</t>
        </is>
      </c>
      <c r="B26" s="10" t="inlineStr">
        <is>
          <t>職業</t>
        </is>
      </c>
      <c r="C26" s="10" t="inlineStr">
        <is>
          <t>Healer</t>
        </is>
      </c>
      <c r="D26" s="6">
        <f>SUMPRODUCT(--ISNUMBER(SEARCH("；"&amp;$A26&amp;"；","；"&amp;SUBSTITUTE('職業對照'!$G$2:$G$208,";","；")&amp;"；")))</f>
        <v/>
      </c>
      <c r="E26" s="6">
        <f>SUMPRODUCT(ISNUMBER(SEARCH("；"&amp;$A26&amp;"；","；"&amp;SUBSTITUTE('職業對照'!$G$2:$G$208,";","；")&amp;"；"))*'職業對照'!$C$2:$C$208)</f>
        <v/>
      </c>
      <c r="F26" s="11" t="n"/>
    </row>
    <row r="27" ht="15.75" customHeight="1" s="14">
      <c r="A27" s="10" t="inlineStr">
        <is>
          <t>天界騎士</t>
        </is>
      </c>
      <c r="B27" s="10" t="inlineStr">
        <is>
          <t>職業</t>
        </is>
      </c>
      <c r="C27" s="10" t="n"/>
      <c r="D27" s="6">
        <f>SUMPRODUCT(--ISNUMBER(SEARCH("；"&amp;$A27&amp;"；","；"&amp;SUBSTITUTE('職業對照'!$G$2:$G$208,";","；")&amp;"；")))</f>
        <v/>
      </c>
      <c r="E27" s="6">
        <f>SUMPRODUCT(ISNUMBER(SEARCH("；"&amp;$A27&amp;"；","；"&amp;SUBSTITUTE('職業對照'!$G$2:$G$208,";","；")&amp;"；"))*'職業對照'!$C$2:$C$208)</f>
        <v/>
      </c>
      <c r="F27" s="11" t="inlineStr">
        <is>
          <t>天界騎士（Celestia）</t>
        </is>
      </c>
    </row>
    <row r="28" ht="15.75" customHeight="1" s="14">
      <c r="A28" s="10" t="inlineStr">
        <is>
          <t>保護</t>
        </is>
      </c>
      <c r="B28" s="10" t="inlineStr">
        <is>
          <t>領域</t>
        </is>
      </c>
      <c r="C28" s="10" t="inlineStr">
        <is>
          <t>Protection</t>
        </is>
      </c>
      <c r="D28" s="6">
        <f>SUMPRODUCT(--ISNUMBER(SEARCH("；"&amp;$A28&amp;"；","；"&amp;SUBSTITUTE('職業對照'!$G$2:$G$208,";","；")&amp;"；")))</f>
        <v/>
      </c>
      <c r="E28" s="6">
        <f>SUMPRODUCT(ISNUMBER(SEARCH("；"&amp;$A28&amp;"；","；"&amp;SUBSTITUTE('職業對照'!$G$2:$G$208,";","；")&amp;"；"))*'職業對照'!$C$2:$C$208)</f>
        <v/>
      </c>
      <c r="F28" s="11" t="n"/>
    </row>
    <row r="29" ht="15.75" customHeight="1" s="14">
      <c r="A29" s="10" t="inlineStr">
        <is>
          <t>力量</t>
        </is>
      </c>
      <c r="B29" s="10" t="inlineStr">
        <is>
          <t>領域</t>
        </is>
      </c>
      <c r="C29" s="10" t="inlineStr">
        <is>
          <t>Strength</t>
        </is>
      </c>
      <c r="D29" s="6">
        <f>SUMPRODUCT(--ISNUMBER(SEARCH("；"&amp;$A29&amp;"；","；"&amp;SUBSTITUTE('職業對照'!$G$2:$G$208,";","；")&amp;"；")))</f>
        <v/>
      </c>
      <c r="E29" s="6">
        <f>SUMPRODUCT(ISNUMBER(SEARCH("；"&amp;$A29&amp;"；","；"&amp;SUBSTITUTE('職業對照'!$G$2:$G$208,";","；")&amp;"；"))*'職業對照'!$C$2:$C$208)</f>
        <v/>
      </c>
      <c r="F29" s="11" t="inlineStr">
        <is>
          <t>合併了力</t>
        </is>
      </c>
    </row>
    <row r="30" ht="15.75" customHeight="1" s="14">
      <c r="A30" s="10" t="inlineStr">
        <is>
          <t>土</t>
        </is>
      </c>
      <c r="B30" s="10" t="inlineStr">
        <is>
          <t>領域</t>
        </is>
      </c>
      <c r="C30" s="10" t="inlineStr">
        <is>
          <t>Earth</t>
        </is>
      </c>
      <c r="D30" s="6">
        <f>SUMPRODUCT(--ISNUMBER(SEARCH("；"&amp;$A30&amp;"；","；"&amp;SUBSTITUTE('職業對照'!$G$2:$G$208,";","；")&amp;"；")))</f>
        <v/>
      </c>
      <c r="E30" s="6">
        <f>SUMPRODUCT(ISNUMBER(SEARCH("；"&amp;$A30&amp;"；","；"&amp;SUBSTITUTE('職業對照'!$G$2:$G$208,";","；")&amp;"；"))*'職業對照'!$C$2:$C$208)</f>
        <v/>
      </c>
      <c r="F30" s="11" t="n"/>
    </row>
    <row r="31" ht="15.75" customHeight="1" s="14">
      <c r="A31" s="10" t="inlineStr">
        <is>
          <t>城市</t>
        </is>
      </c>
      <c r="B31" s="10" t="inlineStr">
        <is>
          <t>領域</t>
        </is>
      </c>
      <c r="C31" s="10" t="inlineStr">
        <is>
          <t>City</t>
        </is>
      </c>
      <c r="D31" s="6">
        <f>SUMPRODUCT(--ISNUMBER(SEARCH("；"&amp;$A31&amp;"；","；"&amp;SUBSTITUTE('職業對照'!$G$2:$G$208,";","；")&amp;"；")))</f>
        <v/>
      </c>
      <c r="E31" s="6">
        <f>SUMPRODUCT(ISNUMBER(SEARCH("；"&amp;$A31&amp;"；","；"&amp;SUBSTITUTE('職業對照'!$G$2:$G$208,";","；")&amp;"；"))*'職業對照'!$C$2:$C$208)</f>
        <v/>
      </c>
      <c r="F31" s="11" t="n"/>
    </row>
    <row r="32" ht="15.75" customHeight="1" s="14">
      <c r="A32" s="10" t="inlineStr">
        <is>
          <t>太陽</t>
        </is>
      </c>
      <c r="B32" s="10" t="inlineStr">
        <is>
          <t>領域</t>
        </is>
      </c>
      <c r="C32" s="10" t="inlineStr">
        <is>
          <t>Sun</t>
        </is>
      </c>
      <c r="D32" s="6">
        <f>SUMPRODUCT(--ISNUMBER(SEARCH("；"&amp;$A32&amp;"；","；"&amp;SUBSTITUTE('職業對照'!$G$2:$G$208,";","；")&amp;"；")))</f>
        <v/>
      </c>
      <c r="E32" s="6">
        <f>SUMPRODUCT(ISNUMBER(SEARCH("；"&amp;$A32&amp;"；","；"&amp;SUBSTITUTE('職業對照'!$G$2:$G$208,";","；")&amp;"；"))*'職業對照'!$C$2:$C$208)</f>
        <v/>
      </c>
      <c r="F32" s="11" t="n"/>
    </row>
    <row r="33" ht="15.75" customHeight="1" s="14">
      <c r="A33" s="10" t="inlineStr">
        <is>
          <t>戰爭</t>
        </is>
      </c>
      <c r="B33" s="10" t="inlineStr">
        <is>
          <t>領域</t>
        </is>
      </c>
      <c r="C33" s="10" t="inlineStr">
        <is>
          <t>War</t>
        </is>
      </c>
      <c r="D33" s="6">
        <f>SUMPRODUCT(--ISNUMBER(SEARCH("；"&amp;$A33&amp;"；","；"&amp;SUBSTITUTE('職業對照'!$G$2:$G$208,";","；")&amp;"；")))</f>
        <v/>
      </c>
      <c r="E33" s="6">
        <f>SUMPRODUCT(ISNUMBER(SEARCH("；"&amp;$A33&amp;"；","；"&amp;SUBSTITUTE('職業對照'!$G$2:$G$208,";","；")&amp;"；"))*'職業對照'!$C$2:$C$208)</f>
        <v/>
      </c>
      <c r="F33" s="11" t="n"/>
    </row>
    <row r="34" ht="15.75" customHeight="1" s="14">
      <c r="A34" s="10" t="inlineStr">
        <is>
          <t>旅行</t>
        </is>
      </c>
      <c r="B34" s="10" t="inlineStr">
        <is>
          <t>領域</t>
        </is>
      </c>
      <c r="C34" s="10" t="inlineStr">
        <is>
          <t>Travel</t>
        </is>
      </c>
      <c r="D34" s="6">
        <f>SUMPRODUCT(--ISNUMBER(SEARCH("；"&amp;$A34&amp;"；","；"&amp;SUBSTITUTE('職業對照'!$G$2:$G$208,";","；")&amp;"；")))</f>
        <v/>
      </c>
      <c r="E34" s="6">
        <f>SUMPRODUCT(ISNUMBER(SEARCH("；"&amp;$A34&amp;"；","；"&amp;SUBSTITUTE('職業對照'!$G$2:$G$208,";","；")&amp;"；"))*'職業對照'!$C$2:$C$208)</f>
        <v/>
      </c>
      <c r="F34" s="11" t="n"/>
    </row>
    <row r="35" ht="15.75" customHeight="1" s="14">
      <c r="A35" s="10" t="inlineStr">
        <is>
          <t>植物</t>
        </is>
      </c>
      <c r="B35" s="10" t="inlineStr">
        <is>
          <t>領域</t>
        </is>
      </c>
      <c r="C35" s="10" t="inlineStr">
        <is>
          <t>Plant</t>
        </is>
      </c>
      <c r="D35" s="6">
        <f>SUMPRODUCT(--ISNUMBER(SEARCH("；"&amp;$A35&amp;"；","；"&amp;SUBSTITUTE('職業對照'!$G$2:$G$208,";","；")&amp;"；")))</f>
        <v/>
      </c>
      <c r="E35" s="6">
        <f>SUMPRODUCT(ISNUMBER(SEARCH("；"&amp;$A35&amp;"；","；"&amp;SUBSTITUTE('職業對照'!$G$2:$G$208,";","；")&amp;"；"))*'職業對照'!$C$2:$C$208)</f>
        <v/>
      </c>
      <c r="F35" s="11" t="n"/>
    </row>
    <row r="36" ht="15.75" customHeight="1" s="14">
      <c r="A36" s="10" t="inlineStr">
        <is>
          <t>機運</t>
        </is>
      </c>
      <c r="B36" s="10" t="inlineStr">
        <is>
          <t>領域</t>
        </is>
      </c>
      <c r="C36" s="10" t="inlineStr">
        <is>
          <t>Luck</t>
        </is>
      </c>
      <c r="D36" s="6">
        <f>SUMPRODUCT(--ISNUMBER(SEARCH("；"&amp;$A36&amp;"；","；"&amp;SUBSTITUTE('職業對照'!$G$2:$G$208,";","；")&amp;"；")))</f>
        <v/>
      </c>
      <c r="E36" s="6">
        <f>SUMPRODUCT(ISNUMBER(SEARCH("；"&amp;$A36&amp;"；","；"&amp;SUBSTITUTE('職業對照'!$G$2:$G$208,";","；")&amp;"；"))*'職業對照'!$C$2:$C$208)</f>
        <v/>
      </c>
      <c r="F36" s="11" t="n"/>
    </row>
    <row r="37" ht="15.75" customHeight="1" s="14">
      <c r="A37" s="10" t="inlineStr">
        <is>
          <t>死亡</t>
        </is>
      </c>
      <c r="B37" s="10" t="inlineStr">
        <is>
          <t>領域</t>
        </is>
      </c>
      <c r="C37" s="10" t="inlineStr">
        <is>
          <t>Death</t>
        </is>
      </c>
      <c r="D37" s="6">
        <f>SUMPRODUCT(--ISNUMBER(SEARCH("；"&amp;$A37&amp;"；","；"&amp;SUBSTITUTE('職業對照'!$G$2:$G$208,";","；")&amp;"；")))</f>
        <v/>
      </c>
      <c r="E37" s="6">
        <f>SUMPRODUCT(ISNUMBER(SEARCH("；"&amp;$A37&amp;"；","；"&amp;SUBSTITUTE('職業對照'!$G$2:$G$208,";","；")&amp;"；"))*'職業對照'!$C$2:$C$208)</f>
        <v/>
      </c>
      <c r="F37" s="11" t="n"/>
    </row>
    <row r="38" ht="15.75" customHeight="1" s="14">
      <c r="A38" s="10" t="inlineStr">
        <is>
          <t>水</t>
        </is>
      </c>
      <c r="B38" s="10" t="inlineStr">
        <is>
          <t>領域</t>
        </is>
      </c>
      <c r="C38" s="10" t="inlineStr">
        <is>
          <t>Water</t>
        </is>
      </c>
      <c r="D38" s="6">
        <f>SUMPRODUCT(--ISNUMBER(SEARCH("；"&amp;$A38&amp;"；","；"&amp;SUBSTITUTE('職業對照'!$G$2:$G$208,";","；")&amp;"；")))</f>
        <v/>
      </c>
      <c r="E38" s="6">
        <f>SUMPRODUCT(ISNUMBER(SEARCH("；"&amp;$A38&amp;"；","；"&amp;SUBSTITUTE('職業對照'!$G$2:$G$208,";","；")&amp;"；"))*'職業對照'!$C$2:$C$208)</f>
        <v/>
      </c>
      <c r="F38" s="11" t="n"/>
    </row>
    <row r="39" ht="15.75" customHeight="1" s="14">
      <c r="A39" s="10" t="inlineStr">
        <is>
          <t>混亂</t>
        </is>
      </c>
      <c r="B39" s="10" t="inlineStr">
        <is>
          <t>領域</t>
        </is>
      </c>
      <c r="C39" s="10" t="inlineStr">
        <is>
          <t>Chaos</t>
        </is>
      </c>
      <c r="D39" s="6">
        <f>SUMPRODUCT(--ISNUMBER(SEARCH("；"&amp;$A39&amp;"；","；"&amp;SUBSTITUTE('職業對照'!$G$2:$G$208,";","；")&amp;"；")))</f>
        <v/>
      </c>
      <c r="E39" s="6">
        <f>SUMPRODUCT(ISNUMBER(SEARCH("；"&amp;$A39&amp;"；","；"&amp;SUBSTITUTE('職業對照'!$G$2:$G$208,";","；")&amp;"；"))*'職業對照'!$C$2:$C$208)</f>
        <v/>
      </c>
      <c r="F39" s="11" t="inlineStr">
        <is>
          <t>合併了混沌</t>
        </is>
      </c>
    </row>
    <row r="40" ht="15.75" customHeight="1" s="14">
      <c r="A40" s="10" t="inlineStr">
        <is>
          <t>火</t>
        </is>
      </c>
      <c r="B40" s="10" t="inlineStr">
        <is>
          <t>領域</t>
        </is>
      </c>
      <c r="C40" s="10" t="inlineStr">
        <is>
          <t>Fire</t>
        </is>
      </c>
      <c r="D40" s="6">
        <f>SUMPRODUCT(--ISNUMBER(SEARCH("；"&amp;$A40&amp;"；","；"&amp;SUBSTITUTE('職業對照'!$G$2:$G$208,";","；")&amp;"；")))</f>
        <v/>
      </c>
      <c r="E40" s="6">
        <f>SUMPRODUCT(ISNUMBER(SEARCH("；"&amp;$A40&amp;"；","；"&amp;SUBSTITUTE('職業對照'!$G$2:$G$208,";","；")&amp;"；"))*'職業對照'!$C$2:$C$208)</f>
        <v/>
      </c>
      <c r="F40" s="11" t="n"/>
    </row>
    <row r="41" ht="15.75" customHeight="1" s="14">
      <c r="A41" s="10" t="inlineStr">
        <is>
          <t>知識</t>
        </is>
      </c>
      <c r="B41" s="10" t="inlineStr">
        <is>
          <t>領域</t>
        </is>
      </c>
      <c r="C41" s="10" t="inlineStr">
        <is>
          <t>Knowledge</t>
        </is>
      </c>
      <c r="D41" s="6">
        <f>SUMPRODUCT(--ISNUMBER(SEARCH("；"&amp;$A41&amp;"；","；"&amp;SUBSTITUTE('職業對照'!$G$2:$G$208,";","；")&amp;"；")))</f>
        <v/>
      </c>
      <c r="E41" s="6">
        <f>SUMPRODUCT(ISNUMBER(SEARCH("；"&amp;$A41&amp;"；","；"&amp;SUBSTITUTE('職業對照'!$G$2:$G$208,";","；")&amp;"；"))*'職業對照'!$C$2:$C$208)</f>
        <v/>
      </c>
      <c r="F41" s="11" t="n"/>
    </row>
    <row r="42" ht="15.75" customHeight="1" s="14">
      <c r="A42" s="10" t="inlineStr">
        <is>
          <t>詭術</t>
        </is>
      </c>
      <c r="B42" s="10" t="inlineStr">
        <is>
          <t>領域</t>
        </is>
      </c>
      <c r="C42" s="10" t="inlineStr">
        <is>
          <t>Trickery</t>
        </is>
      </c>
      <c r="D42" s="6">
        <f>SUMPRODUCT(--ISNUMBER(SEARCH("；"&amp;$A42&amp;"；","；"&amp;SUBSTITUTE('職業對照'!$G$2:$G$208,";","；")&amp;"；")))</f>
        <v/>
      </c>
      <c r="E42" s="6">
        <f>SUMPRODUCT(ISNUMBER(SEARCH("；"&amp;$A42&amp;"；","；"&amp;SUBSTITUTE('職業對照'!$G$2:$G$208,";","；")&amp;"；"))*'職業對照'!$C$2:$C$208)</f>
        <v/>
      </c>
      <c r="F42" s="11" t="inlineStr">
        <is>
          <t>合併了詭計</t>
        </is>
      </c>
    </row>
    <row r="43" ht="15.75" customHeight="1" s="14">
      <c r="A43" s="10" t="inlineStr">
        <is>
          <t>醫療</t>
        </is>
      </c>
      <c r="B43" s="10" t="inlineStr">
        <is>
          <t>領域</t>
        </is>
      </c>
      <c r="C43" s="10" t="inlineStr">
        <is>
          <t>Healing</t>
        </is>
      </c>
      <c r="D43" s="6">
        <f>SUMPRODUCT(--ISNUMBER(SEARCH("；"&amp;$A43&amp;"；","；"&amp;SUBSTITUTE('職業對照'!$G$2:$G$208,";","；")&amp;"；")))</f>
        <v/>
      </c>
      <c r="E43" s="6">
        <f>SUMPRODUCT(ISNUMBER(SEARCH("；"&amp;$A43&amp;"；","；"&amp;SUBSTITUTE('職業對照'!$G$2:$G$208,";","；")&amp;"；"))*'職業對照'!$C$2:$C$208)</f>
        <v/>
      </c>
      <c r="F43" s="11" t="inlineStr">
        <is>
          <t>合併了治療</t>
        </is>
      </c>
    </row>
    <row r="44" ht="15.75" customHeight="1" s="14">
      <c r="A44" s="10" t="inlineStr">
        <is>
          <t>魔法</t>
        </is>
      </c>
      <c r="B44" s="10" t="inlineStr">
        <is>
          <t>領域</t>
        </is>
      </c>
      <c r="C44" s="10" t="inlineStr">
        <is>
          <t>Magic</t>
        </is>
      </c>
      <c r="D44" s="6">
        <f>SUMPRODUCT(--ISNUMBER(SEARCH("；"&amp;$A44&amp;"；","；"&amp;SUBSTITUTE('職業對照'!$G$2:$G$208,";","；")&amp;"；")))</f>
        <v/>
      </c>
      <c r="E44" s="6">
        <f>SUMPRODUCT(ISNUMBER(SEARCH("；"&amp;$A44&amp;"；","；"&amp;SUBSTITUTE('職業對照'!$G$2:$G$208,";","；")&amp;"；"))*'職業對照'!$C$2:$C$208)</f>
        <v/>
      </c>
      <c r="F44" s="11" t="n"/>
    </row>
    <row r="45" ht="15.75" customHeight="1" s="14">
      <c r="A45" s="10" t="inlineStr">
        <is>
          <t>榮耀</t>
        </is>
      </c>
      <c r="B45" s="10" t="inlineStr">
        <is>
          <t>領域</t>
        </is>
      </c>
      <c r="C45" s="10" t="inlineStr">
        <is>
          <t>Glory</t>
        </is>
      </c>
      <c r="D45" s="6">
        <f>SUMPRODUCT(--ISNUMBER(SEARCH("；"&amp;$A45&amp;"；","；"&amp;SUBSTITUTE('職業對照'!$G$2:$G$208,";","；")&amp;"；")))</f>
        <v/>
      </c>
      <c r="E45" s="6">
        <f>SUMPRODUCT(ISNUMBER(SEARCH("；"&amp;$A45&amp;"；","；"&amp;SUBSTITUTE('職業對照'!$G$2:$G$208,";","；")&amp;"；"))*'職業對照'!$C$2:$C$208)</f>
        <v/>
      </c>
      <c r="F45" s="11" t="n"/>
    </row>
    <row r="46" ht="15.75" customHeight="1" s="14">
      <c r="A46" s="10" t="inlineStr">
        <is>
          <t>氣</t>
        </is>
      </c>
      <c r="B46" s="10" t="inlineStr">
        <is>
          <t>領域</t>
        </is>
      </c>
      <c r="C46" s="10" t="inlineStr">
        <is>
          <t>Air</t>
        </is>
      </c>
      <c r="D46" s="6">
        <f>SUMPRODUCT(--ISNUMBER(SEARCH("；"&amp;$A46&amp;"；","；"&amp;SUBSTITUTE('職業對照'!$G$2:$G$208,";","；")&amp;"；")))</f>
        <v/>
      </c>
      <c r="E46" s="6">
        <f>SUMPRODUCT(ISNUMBER(SEARCH("；"&amp;$A46&amp;"；","；"&amp;SUBSTITUTE('職業對照'!$G$2:$G$208,";","；")&amp;"；"))*'職業對照'!$C$2:$C$208)</f>
        <v/>
      </c>
      <c r="F46" s="11" t="inlineStr">
        <is>
          <t>合併了風</t>
        </is>
      </c>
    </row>
    <row r="47" ht="15.75" customHeight="1" s="14">
      <c r="A47" s="10" t="inlineStr">
        <is>
          <t>淨化</t>
        </is>
      </c>
      <c r="B47" s="10" t="inlineStr">
        <is>
          <t>領域</t>
        </is>
      </c>
      <c r="C47" s="10" t="n"/>
      <c r="D47" s="6">
        <f>SUMPRODUCT(--ISNUMBER(SEARCH("；"&amp;$A47&amp;"；","；"&amp;SUBSTITUTE('職業對照'!$G$2:$G$208,";","；")&amp;"；")))</f>
        <v/>
      </c>
      <c r="E47" s="6">
        <f>SUMPRODUCT(ISNUMBER(SEARCH("；"&amp;$A47&amp;"；","；"&amp;SUBSTITUTE('職業對照'!$G$2:$G$208,";","；")&amp;"；"))*'職業對照'!$C$2:$C$208)</f>
        <v/>
      </c>
      <c r="F47" s="11" t="n"/>
    </row>
    <row r="48" ht="15.75" customHeight="1" s="14">
      <c r="A48" s="10" t="inlineStr">
        <is>
          <t>秩序</t>
        </is>
      </c>
      <c r="B48" s="10" t="inlineStr">
        <is>
          <t>領域</t>
        </is>
      </c>
      <c r="C48" s="10" t="inlineStr">
        <is>
          <t>Law</t>
        </is>
      </c>
      <c r="D48" s="6">
        <f>SUMPRODUCT(--ISNUMBER(SEARCH("；"&amp;$A48&amp;"；","；"&amp;SUBSTITUTE('職業對照'!$G$2:$G$208,";","；")&amp;"；")))</f>
        <v/>
      </c>
      <c r="E48" s="6">
        <f>SUMPRODUCT(ISNUMBER(SEARCH("；"&amp;$A48&amp;"；","；"&amp;SUBSTITUTE('職業對照'!$G$2:$G$208,";","；")&amp;"；"))*'職業對照'!$C$2:$C$208)</f>
        <v/>
      </c>
      <c r="F48" s="11" t="n"/>
    </row>
    <row r="49" ht="15.75" customHeight="1" s="14">
      <c r="A49" s="10" t="inlineStr">
        <is>
          <t>邪惡</t>
        </is>
      </c>
      <c r="B49" s="10" t="inlineStr">
        <is>
          <t>領域</t>
        </is>
      </c>
      <c r="C49" s="10" t="inlineStr">
        <is>
          <t>Evil</t>
        </is>
      </c>
      <c r="D49" s="6">
        <f>SUMPRODUCT(--ISNUMBER(SEARCH("；"&amp;$A49&amp;"；","；"&amp;SUBSTITUTE('職業對照'!$G$2:$G$208,";","；")&amp;"；")))</f>
        <v/>
      </c>
      <c r="E49" s="6">
        <f>SUMPRODUCT(ISNUMBER(SEARCH("；"&amp;$A49&amp;"；","；"&amp;SUBSTITUTE('職業對照'!$G$2:$G$208,";","；")&amp;"；"))*'職業對照'!$C$2:$C$208)</f>
        <v/>
      </c>
      <c r="F49" s="11" t="n"/>
    </row>
    <row r="50" ht="15.75" customHeight="1" s="14">
      <c r="A50" s="10" t="inlineStr">
        <is>
          <t>乾渴</t>
        </is>
      </c>
      <c r="B50" s="10" t="inlineStr">
        <is>
          <t>領域</t>
        </is>
      </c>
      <c r="C50" s="10" t="n"/>
      <c r="D50" s="6">
        <f>SUMPRODUCT(--ISNUMBER(SEARCH("；"&amp;$A50&amp;"；","；"&amp;SUBSTITUTE('職業對照'!$G$2:$G$208,";","；")&amp;"；")))</f>
        <v/>
      </c>
      <c r="E50" s="6">
        <f>SUMPRODUCT(ISNUMBER(SEARCH("；"&amp;$A50&amp;"；","；"&amp;SUBSTITUTE('職業對照'!$G$2:$G$208,";","；")&amp;"；"))*'職業對照'!$C$2:$C$208)</f>
        <v/>
      </c>
      <c r="F50" s="11" t="n"/>
    </row>
    <row r="51" ht="15.75" customHeight="1" s="14">
      <c r="A51" s="10" t="inlineStr">
        <is>
          <t>動物</t>
        </is>
      </c>
      <c r="B51" s="10" t="inlineStr">
        <is>
          <t>領域</t>
        </is>
      </c>
      <c r="C51" s="10" t="inlineStr">
        <is>
          <t>Animal</t>
        </is>
      </c>
      <c r="D51" s="6">
        <f>SUMPRODUCT(--ISNUMBER(SEARCH("；"&amp;$A51&amp;"；","；"&amp;SUBSTITUTE('職業對照'!$G$2:$G$208,";","；")&amp;"；")))</f>
        <v/>
      </c>
      <c r="E51" s="6">
        <f>SUMPRODUCT(ISNUMBER(SEARCH("；"&amp;$A51&amp;"；","；"&amp;SUBSTITUTE('職業對照'!$G$2:$G$208,";","；")&amp;"；"))*'職業對照'!$C$2:$C$208)</f>
        <v/>
      </c>
      <c r="F51" s="11" t="n"/>
    </row>
    <row r="52" ht="15.75" customHeight="1" s="14">
      <c r="A52" s="10" t="inlineStr">
        <is>
          <t>善良</t>
        </is>
      </c>
      <c r="B52" s="10" t="inlineStr">
        <is>
          <t>領域</t>
        </is>
      </c>
      <c r="C52" s="10" t="inlineStr">
        <is>
          <t>Good</t>
        </is>
      </c>
      <c r="D52" s="6">
        <f>SUMPRODUCT(--ISNUMBER(SEARCH("；"&amp;$A52&amp;"；","；"&amp;SUBSTITUTE('職業對照'!$G$2:$G$208,";","；")&amp;"；")))</f>
        <v/>
      </c>
      <c r="E52" s="6">
        <f>SUMPRODUCT(ISNUMBER(SEARCH("；"&amp;$A52&amp;"；","；"&amp;SUBSTITUTE('職業對照'!$G$2:$G$208,";","；")&amp;"；"))*'職業對照'!$C$2:$C$208)</f>
        <v/>
      </c>
      <c r="F52" s="11" t="n"/>
    </row>
    <row r="53" ht="15.75" customHeight="1" s="14">
      <c r="A53" s="10" t="inlineStr">
        <is>
          <t>控死</t>
        </is>
      </c>
      <c r="B53" s="10" t="inlineStr">
        <is>
          <t>領域</t>
        </is>
      </c>
      <c r="C53" s="10" t="inlineStr">
        <is>
          <t>Deathbound</t>
        </is>
      </c>
      <c r="D53" s="6">
        <f>SUMPRODUCT(--ISNUMBER(SEARCH("；"&amp;$A53&amp;"；","；"&amp;SUBSTITUTE('職業對照'!$G$2:$G$208,";","；")&amp;"；")))</f>
        <v/>
      </c>
      <c r="E53" s="6">
        <f>SUMPRODUCT(ISNUMBER(SEARCH("；"&amp;$A53&amp;"；","；"&amp;SUBSTITUTE('職業對照'!$G$2:$G$208,";","；")&amp;"；"))*'職業對照'!$C$2:$C$208)</f>
        <v/>
      </c>
      <c r="F53" s="11" t="n"/>
    </row>
    <row r="54" ht="15.75" customHeight="1" s="14">
      <c r="A54" s="10" t="inlineStr">
        <is>
          <t>歡娛</t>
        </is>
      </c>
      <c r="B54" s="10" t="inlineStr">
        <is>
          <t>領域</t>
        </is>
      </c>
      <c r="C54" s="10" t="n"/>
      <c r="D54" s="6">
        <f>SUMPRODUCT(--ISNUMBER(SEARCH("；"&amp;$A54&amp;"；","；"&amp;SUBSTITUTE('職業對照'!$G$2:$G$208,";","；")&amp;"；")))</f>
        <v/>
      </c>
      <c r="E54" s="6">
        <f>SUMPRODUCT(ISNUMBER(SEARCH("；"&amp;$A54&amp;"；","；"&amp;SUBSTITUTE('職業對照'!$G$2:$G$208,";","；")&amp;"；"))*'職業對照'!$C$2:$C$208)</f>
        <v/>
      </c>
      <c r="F54" s="11" t="inlineStr">
        <is>
          <t>合併了歡愉</t>
        </is>
      </c>
    </row>
    <row r="55" ht="15.75" customHeight="1" s="14">
      <c r="A55" s="10" t="inlineStr">
        <is>
          <t>破壞</t>
        </is>
      </c>
      <c r="B55" s="10" t="inlineStr">
        <is>
          <t>領域</t>
        </is>
      </c>
      <c r="C55" s="10" t="inlineStr">
        <is>
          <t>Destruction</t>
        </is>
      </c>
      <c r="D55" s="6">
        <f>SUMPRODUCT(--ISNUMBER(SEARCH("；"&amp;$A55&amp;"；","；"&amp;SUBSTITUTE('職業對照'!$G$2:$G$208,";","；")&amp;"；")))</f>
        <v/>
      </c>
      <c r="E55" s="6">
        <f>SUMPRODUCT(ISNUMBER(SEARCH("；"&amp;$A55&amp;"；","；"&amp;SUBSTITUTE('職業對照'!$G$2:$G$208,";","；")&amp;"；"))*'職業對照'!$C$2:$C$208)</f>
        <v/>
      </c>
      <c r="F55" s="11" t="inlineStr">
        <is>
          <t>合併了毀滅</t>
        </is>
      </c>
    </row>
    <row r="56" ht="15.75" customHeight="1" s="14">
      <c r="A56" s="10" t="inlineStr">
        <is>
          <t>饑餓</t>
        </is>
      </c>
      <c r="B56" s="10" t="inlineStr">
        <is>
          <t>領域</t>
        </is>
      </c>
      <c r="C56" s="10" t="inlineStr">
        <is>
          <t>Hunger</t>
        </is>
      </c>
      <c r="D56" s="6">
        <f>SUMPRODUCT(--ISNUMBER(SEARCH("；"&amp;$A56&amp;"；","；"&amp;SUBSTITUTE('職業對照'!$G$2:$G$208,";","；")&amp;"；")))</f>
        <v/>
      </c>
      <c r="E56" s="6">
        <f>SUMPRODUCT(ISNUMBER(SEARCH("；"&amp;$A56&amp;"；","；"&amp;SUBSTITUTE('職業對照'!$G$2:$G$208,";","；")&amp;"；"))*'職業對照'!$C$2:$C$208)</f>
        <v/>
      </c>
      <c r="F56" s="11" t="n"/>
    </row>
    <row r="57" ht="15.75" customHeight="1" s="14">
      <c r="A57" s="10" t="inlineStr">
        <is>
          <t>黑水</t>
        </is>
      </c>
      <c r="B57" s="10" t="inlineStr">
        <is>
          <t>領域</t>
        </is>
      </c>
      <c r="C57" s="10" t="n"/>
      <c r="D57" s="6">
        <f>SUMPRODUCT(--ISNUMBER(SEARCH("；"&amp;$A57&amp;"；","；"&amp;SUBSTITUTE('職業對照'!$G$2:$G$208,";","；")&amp;"；")))</f>
        <v/>
      </c>
      <c r="E57" s="6">
        <f>SUMPRODUCT(ISNUMBER(SEARCH("；"&amp;$A57&amp;"；","；"&amp;SUBSTITUTE('職業對照'!$G$2:$G$208,";","；")&amp;"；"))*'職業對照'!$C$2:$C$208)</f>
        <v/>
      </c>
      <c r="F57" s="11" t="n"/>
    </row>
    <row r="58" ht="15.75" customHeight="1" s="14">
      <c r="A58" s="10" t="inlineStr">
        <is>
          <t>天空</t>
        </is>
      </c>
      <c r="B58" s="10" t="inlineStr">
        <is>
          <t>領域</t>
        </is>
      </c>
      <c r="C58" s="10" t="n"/>
      <c r="D58" s="6">
        <f>SUMPRODUCT(--ISNUMBER(SEARCH("；"&amp;$A58&amp;"；","；"&amp;SUBSTITUTE('職業對照'!$G$2:$G$208,";","；")&amp;"；")))</f>
        <v/>
      </c>
      <c r="E58" s="6">
        <f>SUMPRODUCT(ISNUMBER(SEARCH("；"&amp;$A58&amp;"；","；"&amp;SUBSTITUTE('職業對照'!$G$2:$G$208,";","；")&amp;"；"))*'職業對照'!$C$2:$C$208)</f>
        <v/>
      </c>
      <c r="F58" s="11" t="n"/>
    </row>
    <row r="59" ht="15.75" customHeight="1" s="14">
      <c r="A59" s="10" t="inlineStr">
        <is>
          <t>水族</t>
        </is>
      </c>
      <c r="B59" s="10" t="inlineStr">
        <is>
          <t>領域</t>
        </is>
      </c>
      <c r="C59" s="10" t="n"/>
      <c r="D59" s="6">
        <f>SUMPRODUCT(--ISNUMBER(SEARCH("；"&amp;$A59&amp;"；","；"&amp;SUBSTITUTE('職業對照'!$G$2:$G$208,";","；")&amp;"；")))</f>
        <v/>
      </c>
      <c r="E59" s="6">
        <f>SUMPRODUCT(ISNUMBER(SEARCH("；"&amp;$A59&amp;"；","；"&amp;SUBSTITUTE('職業對照'!$G$2:$G$208,";","；")&amp;"；"))*'職業對照'!$C$2:$C$208)</f>
        <v/>
      </c>
      <c r="F59" s="11" t="n"/>
    </row>
    <row r="60" ht="15.75" customHeight="1" s="14">
      <c r="A60" s="10" t="inlineStr">
        <is>
          <t>沙</t>
        </is>
      </c>
      <c r="B60" s="10" t="inlineStr">
        <is>
          <t>領域</t>
        </is>
      </c>
      <c r="C60" s="10" t="n"/>
      <c r="D60" s="6">
        <f>SUMPRODUCT(--ISNUMBER(SEARCH("；"&amp;$A60&amp;"；","；"&amp;SUBSTITUTE('職業對照'!$G$2:$G$208,";","；")&amp;"；")))</f>
        <v/>
      </c>
      <c r="E60" s="6">
        <f>SUMPRODUCT(ISNUMBER(SEARCH("；"&amp;$A60&amp;"；","；"&amp;SUBSTITUTE('職業對照'!$G$2:$G$208,";","；")&amp;"；"))*'職業對照'!$C$2:$C$208)</f>
        <v/>
      </c>
      <c r="F60" s="11" t="n"/>
    </row>
    <row r="61" ht="15.75" customHeight="1" s="14">
      <c r="A61" s="10" t="inlineStr">
        <is>
          <t>神譴</t>
        </is>
      </c>
      <c r="B61" s="10" t="inlineStr">
        <is>
          <t>領域</t>
        </is>
      </c>
      <c r="C61" s="10" t="n"/>
      <c r="D61" s="6">
        <f>SUMPRODUCT(--ISNUMBER(SEARCH("；"&amp;$A61&amp;"；","；"&amp;SUBSTITUTE('職業對照'!$G$2:$G$208,";","；")&amp;"；")))</f>
        <v/>
      </c>
      <c r="E61" s="6">
        <f>SUMPRODUCT(ISNUMBER(SEARCH("；"&amp;$A61&amp;"；","；"&amp;SUBSTITUTE('職業對照'!$G$2:$G$208,";","；")&amp;"；"))*'職業對照'!$C$2:$C$208)</f>
        <v/>
      </c>
      <c r="F61" s="11" t="n"/>
    </row>
    <row r="62" ht="15.75" customHeight="1" s="14">
      <c r="A62" s="10" t="inlineStr">
        <is>
          <t>不朽</t>
        </is>
      </c>
      <c r="B62" s="10" t="inlineStr">
        <is>
          <t>領域</t>
        </is>
      </c>
      <c r="C62" s="10" t="n"/>
      <c r="D62" s="6">
        <f>SUMPRODUCT(--ISNUMBER(SEARCH("；"&amp;$A62&amp;"；","；"&amp;SUBSTITUTE('職業對照'!$G$2:$G$208,";","；")&amp;"；")))</f>
        <v/>
      </c>
      <c r="E62" s="6">
        <f>SUMPRODUCT(ISNUMBER(SEARCH("；"&amp;$A62&amp;"；","；"&amp;SUBSTITUTE('職業對照'!$G$2:$G$208,";","；")&amp;"；"))*'職業對照'!$C$2:$C$208)</f>
        <v/>
      </c>
      <c r="F62" s="11" t="n"/>
    </row>
    <row r="63" ht="15.75" customHeight="1" s="14">
      <c r="A63" s="10" t="inlineStr">
        <is>
          <t>喜樂</t>
        </is>
      </c>
      <c r="B63" s="10" t="inlineStr">
        <is>
          <t>領域</t>
        </is>
      </c>
      <c r="C63" s="10" t="n"/>
      <c r="D63" s="6">
        <f>SUMPRODUCT(--ISNUMBER(SEARCH("；"&amp;$A63&amp;"；","；"&amp;SUBSTITUTE('職業對照'!$G$2:$G$208,";","；")&amp;"；")))</f>
        <v/>
      </c>
      <c r="E63" s="6">
        <f>SUMPRODUCT(ISNUMBER(SEARCH("；"&amp;$A63&amp;"；","；"&amp;SUBSTITUTE('職業對照'!$G$2:$G$208,";","；")&amp;"；"))*'職業對照'!$C$2:$C$208)</f>
        <v/>
      </c>
      <c r="F63" s="11" t="n"/>
    </row>
    <row r="64" ht="15.75" customHeight="1" s="14">
      <c r="A64" s="10" t="inlineStr">
        <is>
          <t>天族</t>
        </is>
      </c>
      <c r="B64" s="10" t="inlineStr">
        <is>
          <t>領域</t>
        </is>
      </c>
      <c r="C64" s="10" t="n"/>
      <c r="D64" s="6">
        <f>SUMPRODUCT(--ISNUMBER(SEARCH("；"&amp;$A64&amp;"；","；"&amp;SUBSTITUTE('職業對照'!$G$2:$G$208,";","；")&amp;"；")))</f>
        <v/>
      </c>
      <c r="E64" s="6">
        <f>SUMPRODUCT(ISNUMBER(SEARCH("；"&amp;$A64&amp;"；","；"&amp;SUBSTITUTE('職業對照'!$G$2:$G$208,";","；")&amp;"；"))*'職業對照'!$C$2:$C$208)</f>
        <v/>
      </c>
      <c r="F64" s="11" t="inlineStr">
        <is>
          <t>位面領域</t>
        </is>
      </c>
    </row>
    <row r="65" ht="15.75" customHeight="1" s="14">
      <c r="A65" s="10" t="inlineStr">
        <is>
          <t>宿命</t>
        </is>
      </c>
      <c r="B65" s="10" t="inlineStr">
        <is>
          <t>領域</t>
        </is>
      </c>
      <c r="C65" s="10" t="n"/>
      <c r="D65" s="6">
        <f>SUMPRODUCT(--ISNUMBER(SEARCH("；"&amp;$A65&amp;"；","；"&amp;SUBSTITUTE('職業對照'!$G$2:$G$208,";","；")&amp;"；")))</f>
        <v/>
      </c>
      <c r="E65" s="6">
        <f>SUMPRODUCT(ISNUMBER(SEARCH("；"&amp;$A65&amp;"；","；"&amp;SUBSTITUTE('職業對照'!$G$2:$G$208,";","；")&amp;"；"))*'職業對照'!$C$2:$C$208)</f>
        <v/>
      </c>
      <c r="F65" s="11" t="n"/>
    </row>
    <row r="66" ht="15.75" customHeight="1" s="14">
      <c r="A66" s="10" t="inlineStr">
        <is>
          <t>盛夏</t>
        </is>
      </c>
      <c r="B66" s="10" t="inlineStr">
        <is>
          <t>領域</t>
        </is>
      </c>
      <c r="C66" s="10" t="n"/>
      <c r="D66" s="6">
        <f>SUMPRODUCT(--ISNUMBER(SEARCH("；"&amp;$A66&amp;"；","；"&amp;SUBSTITUTE('職業對照'!$G$2:$G$208,";","；")&amp;"；")))</f>
        <v/>
      </c>
      <c r="E66" s="6">
        <f>SUMPRODUCT(ISNUMBER(SEARCH("；"&amp;$A66&amp;"；","；"&amp;SUBSTITUTE('職業對照'!$G$2:$G$208,";","；")&amp;"；"))*'職業對照'!$C$2:$C$208)</f>
        <v/>
      </c>
      <c r="F66" s="11" t="n"/>
    </row>
    <row r="67" ht="15.75" customHeight="1" s="14">
      <c r="A67" s="10" t="inlineStr">
        <is>
          <t>勇氣</t>
        </is>
      </c>
      <c r="B67" s="10" t="inlineStr">
        <is>
          <t>領域</t>
        </is>
      </c>
      <c r="C67" s="10" t="n"/>
      <c r="D67" s="6">
        <f>SUMPRODUCT(--ISNUMBER(SEARCH("；"&amp;$A67&amp;"；","；"&amp;SUBSTITUTE('職業對照'!$G$2:$G$208,";","；")&amp;"；")))</f>
        <v/>
      </c>
      <c r="E67" s="6">
        <f>SUMPRODUCT(ISNUMBER(SEARCH("；"&amp;$A67&amp;"；","；"&amp;SUBSTITUTE('職業對照'!$G$2:$G$208,";","；")&amp;"；"))*'職業對照'!$C$2:$C$208)</f>
        <v/>
      </c>
      <c r="F67" s="11" t="n"/>
    </row>
    <row r="68" ht="15.75" customHeight="1" s="14">
      <c r="A68" s="10" t="inlineStr">
        <is>
          <t>工藝</t>
        </is>
      </c>
      <c r="B68" s="10" t="inlineStr">
        <is>
          <t>領域</t>
        </is>
      </c>
      <c r="C68" s="10" t="n"/>
      <c r="D68" s="6">
        <f>SUMPRODUCT(--ISNUMBER(SEARCH("；"&amp;$A68&amp;"；","；"&amp;SUBSTITUTE('職業對照'!$G$2:$G$208,";","；")&amp;"；")))</f>
        <v/>
      </c>
      <c r="E68" s="6">
        <f>SUMPRODUCT(ISNUMBER(SEARCH("；"&amp;$A68&amp;"；","；"&amp;SUBSTITUTE('職業對照'!$G$2:$G$208,";","；")&amp;"；"))*'職業對照'!$C$2:$C$208)</f>
        <v/>
      </c>
      <c r="F68" s="11" t="inlineStr">
        <is>
          <t>合併工匠領域</t>
        </is>
      </c>
    </row>
    <row r="69" ht="15.75" customHeight="1" s="14">
      <c r="A69" s="10" t="inlineStr">
        <is>
          <t>平衡</t>
        </is>
      </c>
      <c r="B69" s="10" t="inlineStr">
        <is>
          <t>領域</t>
        </is>
      </c>
      <c r="C69" s="10" t="inlineStr">
        <is>
          <t>Balance</t>
        </is>
      </c>
      <c r="D69" s="6">
        <f>SUMPRODUCT(--ISNUMBER(SEARCH("；"&amp;$A69&amp;"；","；"&amp;SUBSTITUTE('職業對照'!$G$2:$G$208,";","；")&amp;"；")))</f>
        <v/>
      </c>
      <c r="E69" s="6">
        <f>SUMPRODUCT(ISNUMBER(SEARCH("；"&amp;$A69&amp;"；","；"&amp;SUBSTITUTE('職業對照'!$G$2:$G$208,";","；")&amp;"；"))*'職業對照'!$C$2:$C$208)</f>
        <v/>
      </c>
      <c r="F69" s="11" t="n"/>
    </row>
    <row r="70" ht="15.75" customHeight="1" s="14">
      <c r="A70" s="10" t="inlineStr">
        <is>
          <t>月亮</t>
        </is>
      </c>
      <c r="B70" s="10" t="inlineStr">
        <is>
          <t>領域</t>
        </is>
      </c>
      <c r="C70" s="10" t="n"/>
      <c r="D70" s="6">
        <f>SUMPRODUCT(--ISNUMBER(SEARCH("；"&amp;$A70&amp;"；","；"&amp;SUBSTITUTE('職業對照'!$G$2:$G$208,";","；")&amp;"；")))</f>
        <v/>
      </c>
      <c r="E70" s="6">
        <f>SUMPRODUCT(ISNUMBER(SEARCH("；"&amp;$A70&amp;"；","；"&amp;SUBSTITUTE('職業對照'!$G$2:$G$208,";","；")&amp;"；"))*'職業對照'!$C$2:$C$208)</f>
        <v/>
      </c>
      <c r="F70" s="11" t="n"/>
    </row>
    <row r="71" ht="15.75" customHeight="1" s="14">
      <c r="A71" s="10" t="inlineStr">
        <is>
          <t>機械界</t>
        </is>
      </c>
      <c r="B71" s="10" t="inlineStr">
        <is>
          <t>領域</t>
        </is>
      </c>
      <c r="C71" s="10" t="inlineStr">
        <is>
          <t>Mechanus</t>
        </is>
      </c>
      <c r="D71" s="6">
        <f>SUMPRODUCT(--ISNUMBER(SEARCH("；"&amp;$A71&amp;"；","；"&amp;SUBSTITUTE('職業對照'!$G$2:$G$208,";","；")&amp;"；")))</f>
        <v/>
      </c>
      <c r="E71" s="6">
        <f>SUMPRODUCT(ISNUMBER(SEARCH("；"&amp;$A71&amp;"；","；"&amp;SUBSTITUTE('職業對照'!$G$2:$G$208,";","；")&amp;"；"))*'職業對照'!$C$2:$C$208)</f>
        <v/>
      </c>
      <c r="F71" s="11" t="inlineStr">
        <is>
          <t>位面領域</t>
        </is>
      </c>
    </row>
    <row r="72" ht="15.75" customHeight="1" s="14">
      <c r="A72" s="10" t="inlineStr">
        <is>
          <t>瘋狂</t>
        </is>
      </c>
      <c r="B72" s="10" t="inlineStr">
        <is>
          <t>領域</t>
        </is>
      </c>
      <c r="C72" s="10" t="n"/>
      <c r="D72" s="6">
        <f>SUMPRODUCT(--ISNUMBER(SEARCH("；"&amp;$A72&amp;"；","；"&amp;SUBSTITUTE('職業對照'!$G$2:$G$208,";","；")&amp;"；")))</f>
        <v/>
      </c>
      <c r="E72" s="6">
        <f>SUMPRODUCT(ISNUMBER(SEARCH("；"&amp;$A72&amp;"；","；"&amp;SUBSTITUTE('職業對照'!$G$2:$G$208,";","；")&amp;"；"))*'職業對照'!$C$2:$C$208)</f>
        <v/>
      </c>
      <c r="F72" s="11" t="n"/>
    </row>
    <row r="73" ht="15.75" customHeight="1" s="14">
      <c r="A73" s="10" t="inlineStr">
        <is>
          <t>卓爾</t>
        </is>
      </c>
      <c r="B73" s="10" t="inlineStr">
        <is>
          <t>領域</t>
        </is>
      </c>
      <c r="C73" s="10" t="n"/>
      <c r="D73" s="6">
        <f>SUMPRODUCT(--ISNUMBER(SEARCH("；"&amp;$A73&amp;"；","；"&amp;SUBSTITUTE('職業對照'!$G$2:$G$208,";","；")&amp;"；")))</f>
        <v/>
      </c>
      <c r="E73" s="6">
        <f>SUMPRODUCT(ISNUMBER(SEARCH("；"&amp;$A73&amp;"；","；"&amp;SUBSTITUTE('職業對照'!$G$2:$G$208,";","；")&amp;"；"))*'職業對照'!$C$2:$C$208)</f>
        <v/>
      </c>
      <c r="F73" s="11" t="n"/>
    </row>
    <row r="74" ht="15.75" customHeight="1" s="14">
      <c r="A74" s="10" t="inlineStr">
        <is>
          <t>深淵</t>
        </is>
      </c>
      <c r="B74" s="10" t="inlineStr">
        <is>
          <t>領域</t>
        </is>
      </c>
      <c r="C74" s="10" t="n"/>
      <c r="D74" s="6">
        <f>SUMPRODUCT(--ISNUMBER(SEARCH("；"&amp;$A74&amp;"；","；"&amp;SUBSTITUTE('職業對照'!$G$2:$G$208,";","；")&amp;"；")))</f>
        <v/>
      </c>
      <c r="E74" s="6">
        <f>SUMPRODUCT(ISNUMBER(SEARCH("；"&amp;$A74&amp;"；","；"&amp;SUBSTITUTE('職業對照'!$G$2:$G$208,";","；")&amp;"；"))*'職業對照'!$C$2:$C$208)</f>
        <v/>
      </c>
      <c r="F74" s="11" t="inlineStr">
        <is>
          <t>位面領域</t>
        </is>
      </c>
    </row>
    <row r="75" ht="15.75" customHeight="1" s="14">
      <c r="A75" s="10" t="inlineStr">
        <is>
          <t>神秘</t>
        </is>
      </c>
      <c r="B75" s="10" t="inlineStr">
        <is>
          <t>領域</t>
        </is>
      </c>
      <c r="C75" s="10" t="n"/>
      <c r="D75" s="6">
        <f>SUMPRODUCT(--ISNUMBER(SEARCH("；"&amp;$A75&amp;"；","；"&amp;SUBSTITUTE('職業對照'!$G$2:$G$208,";","；")&amp;"；")))</f>
        <v/>
      </c>
      <c r="E75" s="6">
        <f>SUMPRODUCT(ISNUMBER(SEARCH("；"&amp;$A75&amp;"；","；"&amp;SUBSTITUTE('職業對照'!$G$2:$G$208,";","；")&amp;"；"))*'職業對照'!$C$2:$C$208)</f>
        <v/>
      </c>
      <c r="F75" s="11" t="n"/>
    </row>
    <row r="76" ht="15.75" customHeight="1" s="14">
      <c r="A76" s="10" t="inlineStr">
        <is>
          <t>精類</t>
        </is>
      </c>
      <c r="B76" s="10" t="inlineStr">
        <is>
          <t>領域</t>
        </is>
      </c>
      <c r="C76" s="10" t="n"/>
      <c r="D76" s="6">
        <f>SUMPRODUCT(--ISNUMBER(SEARCH("；"&amp;$A76&amp;"；","；"&amp;SUBSTITUTE('職業對照'!$G$2:$G$208,";","；")&amp;"；")))</f>
        <v/>
      </c>
      <c r="E76" s="6">
        <f>SUMPRODUCT(ISNUMBER(SEARCH("；"&amp;$A76&amp;"；","；"&amp;SUBSTITUTE('職業對照'!$G$2:$G$208,";","；")&amp;"；"))*'職業對照'!$C$2:$C$208)</f>
        <v/>
      </c>
      <c r="F76" s="11" t="n"/>
    </row>
    <row r="77" ht="15.75" customHeight="1" s="14">
      <c r="A77" s="10" t="inlineStr">
        <is>
          <t>腐敗</t>
        </is>
      </c>
      <c r="B77" s="10" t="inlineStr">
        <is>
          <t>領域</t>
        </is>
      </c>
      <c r="C77" s="10" t="n"/>
      <c r="D77" s="6">
        <f>SUMPRODUCT(--ISNUMBER(SEARCH("；"&amp;$A77&amp;"；","；"&amp;SUBSTITUTE('職業對照'!$G$2:$G$208,";","；")&amp;"；")))</f>
        <v/>
      </c>
      <c r="E77" s="6">
        <f>SUMPRODUCT(ISNUMBER(SEARCH("；"&amp;$A77&amp;"；","；"&amp;SUBSTITUTE('職業對照'!$G$2:$G$208,";","；")&amp;"；"))*'職業對照'!$C$2:$C$208)</f>
        <v/>
      </c>
      <c r="F77" s="11" t="n"/>
    </row>
    <row r="78" ht="15.75" customHeight="1" s="14">
      <c r="A78" s="10" t="inlineStr">
        <is>
          <t>蜘蛛</t>
        </is>
      </c>
      <c r="B78" s="10" t="inlineStr">
        <is>
          <t>領域</t>
        </is>
      </c>
      <c r="C78" s="10" t="inlineStr">
        <is>
          <t>Spider</t>
        </is>
      </c>
      <c r="D78" s="6">
        <f>SUMPRODUCT(--ISNUMBER(SEARCH("；"&amp;$A78&amp;"；","；"&amp;SUBSTITUTE('職業對照'!$G$2:$G$208,";","；")&amp;"；")))</f>
        <v/>
      </c>
      <c r="E78" s="6">
        <f>SUMPRODUCT(ISNUMBER(SEARCH("；"&amp;$A78&amp;"；","；"&amp;SUBSTITUTE('職業對照'!$G$2:$G$208,";","；")&amp;"；"))*'職業對照'!$C$2:$C$208)</f>
        <v/>
      </c>
      <c r="F78" s="11" t="n"/>
    </row>
    <row r="79" ht="15.75" customHeight="1" s="14">
      <c r="A79" s="10" t="inlineStr">
        <is>
          <t>貪婪</t>
        </is>
      </c>
      <c r="B79" s="10" t="inlineStr">
        <is>
          <t>領域</t>
        </is>
      </c>
      <c r="C79" s="10" t="inlineStr">
        <is>
          <t>Greed</t>
        </is>
      </c>
      <c r="D79" s="6">
        <f>SUMPRODUCT(--ISNUMBER(SEARCH("；"&amp;$A79&amp;"；","；"&amp;SUBSTITUTE('職業對照'!$G$2:$G$208,";","；")&amp;"；")))</f>
        <v/>
      </c>
      <c r="E79" s="6">
        <f>SUMPRODUCT(ISNUMBER(SEARCH("；"&amp;$A79&amp;"；","；"&amp;SUBSTITUTE('職業對照'!$G$2:$G$208,";","；")&amp;"；"))*'職業對照'!$C$2:$C$208)</f>
        <v/>
      </c>
      <c r="F79" s="11" t="n"/>
    </row>
    <row r="80" ht="15.75" customHeight="1" s="14">
      <c r="A80" s="10" t="inlineStr">
        <is>
          <t>隆冬</t>
        </is>
      </c>
      <c r="B80" s="10" t="inlineStr">
        <is>
          <t>領域</t>
        </is>
      </c>
      <c r="C80" s="10" t="n"/>
      <c r="D80" s="6">
        <f>SUMPRODUCT(--ISNUMBER(SEARCH("；"&amp;$A80&amp;"；","；"&amp;SUBSTITUTE('職業對照'!$G$2:$G$208,";","；")&amp;"；")))</f>
        <v/>
      </c>
      <c r="E80" s="6">
        <f>SUMPRODUCT(ISNUMBER(SEARCH("；"&amp;$A80&amp;"；","；"&amp;SUBSTITUTE('職業對照'!$G$2:$G$208,";","；")&amp;"；"))*'職業對照'!$C$2:$C$208)</f>
        <v/>
      </c>
      <c r="F80" s="11" t="inlineStr">
        <is>
          <t>合併了寒冷</t>
        </is>
      </c>
    </row>
    <row r="81" ht="15.75" customHeight="1" s="14">
      <c r="A81" s="10" t="inlineStr">
        <is>
          <t>風暴</t>
        </is>
      </c>
      <c r="B81" s="10" t="inlineStr">
        <is>
          <t>領域</t>
        </is>
      </c>
      <c r="C81" s="10" t="n"/>
      <c r="D81" s="6">
        <f>SUMPRODUCT(--ISNUMBER(SEARCH("；"&amp;$A81&amp;"；","；"&amp;SUBSTITUTE('職業對照'!$G$2:$G$208,";","；")&amp;"；")))</f>
        <v/>
      </c>
      <c r="E81" s="6">
        <f>SUMPRODUCT(ISNUMBER(SEARCH("；"&amp;$A81&amp;"；","；"&amp;SUBSTITUTE('職業對照'!$G$2:$G$208,";","；")&amp;"；"))*'職業對照'!$C$2:$C$208)</f>
        <v/>
      </c>
      <c r="F81" s="11" t="n"/>
    </row>
    <row r="82" ht="15.75" customHeight="1" s="14">
      <c r="A82" s="10" t="inlineStr">
        <is>
          <t>黑暗</t>
        </is>
      </c>
      <c r="B82" s="10" t="inlineStr">
        <is>
          <t>領域</t>
        </is>
      </c>
      <c r="C82" s="10" t="n"/>
      <c r="D82" s="6">
        <f>SUMPRODUCT(--ISNUMBER(SEARCH("；"&amp;$A82&amp;"；","；"&amp;SUBSTITUTE('職業對照'!$G$2:$G$208,";","；")&amp;"；")))</f>
        <v/>
      </c>
      <c r="E82" s="6">
        <f>SUMPRODUCT(ISNUMBER(SEARCH("；"&amp;$A82&amp;"；","；"&amp;SUBSTITUTE('職業對照'!$G$2:$G$208,";","；")&amp;"；"))*'職業對照'!$C$2:$C$208)</f>
        <v/>
      </c>
      <c r="F82" s="11" t="inlineStr">
        <is>
          <t>合併了晦暗</t>
        </is>
      </c>
    </row>
    <row r="83" ht="15.75" customHeight="1" s="14">
      <c r="A83" s="10" t="inlineStr">
        <is>
          <t>冥土</t>
        </is>
      </c>
      <c r="B83" s="10" t="inlineStr">
        <is>
          <t>領域</t>
        </is>
      </c>
      <c r="C83" s="10" t="n"/>
      <c r="D83" s="6">
        <f>SUMPRODUCT(--ISNUMBER(SEARCH("；"&amp;$A83&amp;"；","；"&amp;SUBSTITUTE('職業對照'!$G$2:$G$208,";","；")&amp;"；")))</f>
        <v/>
      </c>
      <c r="E83" s="6">
        <f>SUMPRODUCT(ISNUMBER(SEARCH("；"&amp;$A83&amp;"；","；"&amp;SUBSTITUTE('職業對照'!$G$2:$G$208,";","；")&amp;"；"))*'職業對照'!$C$2:$C$208)</f>
        <v/>
      </c>
      <c r="F83" s="11" t="inlineStr">
        <is>
          <t>位面領域</t>
        </is>
      </c>
    </row>
    <row r="84" ht="15.75" customHeight="1" s="14">
      <c r="A84" s="10" t="inlineStr">
        <is>
          <t>契約</t>
        </is>
      </c>
      <c r="B84" s="10" t="inlineStr">
        <is>
          <t>領域</t>
        </is>
      </c>
      <c r="C84" s="10" t="inlineStr">
        <is>
          <t>Pact</t>
        </is>
      </c>
      <c r="D84" s="6">
        <f>SUMPRODUCT(--ISNUMBER(SEARCH("；"&amp;$A84&amp;"；","；"&amp;SUBSTITUTE('職業對照'!$G$2:$G$208,";","；")&amp;"；")))</f>
        <v/>
      </c>
      <c r="E84" s="6">
        <f>SUMPRODUCT(ISNUMBER(SEARCH("；"&amp;$A84&amp;"；","；"&amp;SUBSTITUTE('職業對照'!$G$2:$G$208,";","；")&amp;"；"))*'職業對照'!$C$2:$C$208)</f>
        <v/>
      </c>
      <c r="F84" s="11" t="n"/>
    </row>
    <row r="85" ht="15.75" customHeight="1" s="14">
      <c r="A85" s="10" t="inlineStr">
        <is>
          <t>心靈</t>
        </is>
      </c>
      <c r="B85" s="10" t="inlineStr">
        <is>
          <t>領域</t>
        </is>
      </c>
      <c r="C85" s="10" t="n"/>
      <c r="D85" s="6">
        <f>SUMPRODUCT(--ISNUMBER(SEARCH("；"&amp;$A85&amp;"；","；"&amp;SUBSTITUTE('職業對照'!$G$2:$G$208,";","；")&amp;"；")))</f>
        <v/>
      </c>
      <c r="E85" s="6">
        <f>SUMPRODUCT(ISNUMBER(SEARCH("；"&amp;$A85&amp;"；","；"&amp;SUBSTITUTE('職業對照'!$G$2:$G$208,";","；")&amp;"；"))*'職業對照'!$C$2:$C$208)</f>
        <v/>
      </c>
      <c r="F85" s="11" t="inlineStr">
        <is>
          <t>合併了心智</t>
        </is>
      </c>
    </row>
    <row r="86" ht="15.75" customHeight="1" s="14">
      <c r="A86" s="10" t="inlineStr">
        <is>
          <t>支配</t>
        </is>
      </c>
      <c r="B86" s="10" t="inlineStr">
        <is>
          <t>領域</t>
        </is>
      </c>
      <c r="C86" s="10" t="n"/>
      <c r="D86" s="6">
        <f>SUMPRODUCT(--ISNUMBER(SEARCH("；"&amp;$A86&amp;"；","；"&amp;SUBSTITUTE('職業對照'!$G$2:$G$208,";","；")&amp;"；")))</f>
        <v/>
      </c>
      <c r="E86" s="6">
        <f>SUMPRODUCT(ISNUMBER(SEARCH("；"&amp;$A86&amp;"；","；"&amp;SUBSTITUTE('職業對照'!$G$2:$G$208,";","；")&amp;"；"))*'職業對照'!$C$2:$C$208)</f>
        <v/>
      </c>
      <c r="F86" s="11" t="n"/>
    </row>
    <row r="87" ht="15.75" customHeight="1" s="14">
      <c r="A87" s="10" t="inlineStr">
        <is>
          <t>極樂</t>
        </is>
      </c>
      <c r="B87" s="10" t="inlineStr">
        <is>
          <t>領域</t>
        </is>
      </c>
      <c r="C87" s="10" t="n"/>
      <c r="D87" s="6">
        <f>SUMPRODUCT(--ISNUMBER(SEARCH("；"&amp;$A87&amp;"；","；"&amp;SUBSTITUTE('職業對照'!$G$2:$G$208,";","；")&amp;"；")))</f>
        <v/>
      </c>
      <c r="E87" s="6">
        <f>SUMPRODUCT(ISNUMBER(SEARCH("；"&amp;$A87&amp;"；","；"&amp;SUBSTITUTE('職業對照'!$G$2:$G$208,";","；")&amp;"；"))*'職業對照'!$C$2:$C$208)</f>
        <v/>
      </c>
      <c r="F87" s="11" t="inlineStr">
        <is>
          <t>位面領域（合併了極樂境）</t>
        </is>
      </c>
    </row>
    <row r="88" ht="15.75" customHeight="1" s="14">
      <c r="A88" s="10" t="inlineStr">
        <is>
          <t>法術</t>
        </is>
      </c>
      <c r="B88" s="10" t="inlineStr">
        <is>
          <t>領域</t>
        </is>
      </c>
      <c r="C88" s="10" t="n"/>
      <c r="D88" s="6">
        <f>SUMPRODUCT(--ISNUMBER(SEARCH("；"&amp;$A88&amp;"；","；"&amp;SUBSTITUTE('職業對照'!$G$2:$G$208,";","；")&amp;"；")))</f>
        <v/>
      </c>
      <c r="E88" s="6">
        <f>SUMPRODUCT(ISNUMBER(SEARCH("；"&amp;$A88&amp;"；","；"&amp;SUBSTITUTE('職業對照'!$G$2:$G$208,";","；")&amp;"；"))*'職業對照'!$C$2:$C$208)</f>
        <v/>
      </c>
      <c r="F88" s="11" t="n"/>
    </row>
    <row r="89" ht="15.75" customHeight="1" s="14">
      <c r="A89" s="10" t="inlineStr">
        <is>
          <t>疫病</t>
        </is>
      </c>
      <c r="B89" s="10" t="inlineStr">
        <is>
          <t>領域</t>
        </is>
      </c>
      <c r="C89" s="10" t="n"/>
      <c r="D89" s="6">
        <f>SUMPRODUCT(--ISNUMBER(SEARCH("；"&amp;$A89&amp;"；","；"&amp;SUBSTITUTE('職業對照'!$G$2:$G$208,";","；")&amp;"；")))</f>
        <v/>
      </c>
      <c r="E89" s="6">
        <f>SUMPRODUCT(ISNUMBER(SEARCH("；"&amp;$A89&amp;"；","；"&amp;SUBSTITUTE('職業對照'!$G$2:$G$208,";","；")&amp;"；"))*'職業對照'!$C$2:$C$208)</f>
        <v/>
      </c>
      <c r="F89" s="11" t="inlineStr">
        <is>
          <t>合併了瘟疫</t>
        </is>
      </c>
    </row>
    <row r="90" ht="15.75" customHeight="1" s="14">
      <c r="A90" s="10" t="inlineStr">
        <is>
          <t>競爭</t>
        </is>
      </c>
      <c r="B90" s="10" t="inlineStr">
        <is>
          <t>領域</t>
        </is>
      </c>
      <c r="C90" s="10" t="n"/>
      <c r="D90" s="6">
        <f>SUMPRODUCT(--ISNUMBER(SEARCH("；"&amp;$A90&amp;"；","；"&amp;SUBSTITUTE('職業對照'!$G$2:$G$208,";","；")&amp;"；")))</f>
        <v/>
      </c>
      <c r="E90" s="6">
        <f>SUMPRODUCT(ISNUMBER(SEARCH("；"&amp;$A90&amp;"；","；"&amp;SUBSTITUTE('職業對照'!$G$2:$G$208,";","；")&amp;"；"))*'職業對照'!$C$2:$C$208)</f>
        <v/>
      </c>
      <c r="F90" s="11" t="n"/>
    </row>
    <row r="91" ht="15.75" customHeight="1" s="14">
      <c r="A91" s="10" t="inlineStr">
        <is>
          <t>筵席</t>
        </is>
      </c>
      <c r="B91" s="10" t="inlineStr">
        <is>
          <t>領域</t>
        </is>
      </c>
      <c r="C91" s="10" t="n"/>
      <c r="D91" s="6">
        <f>SUMPRODUCT(--ISNUMBER(SEARCH("；"&amp;$A91&amp;"；","；"&amp;SUBSTITUTE('職業對照'!$G$2:$G$208,";","；")&amp;"；")))</f>
        <v/>
      </c>
      <c r="E91" s="6">
        <f>SUMPRODUCT(ISNUMBER(SEARCH("；"&amp;$A91&amp;"；","；"&amp;SUBSTITUTE('職業對照'!$G$2:$G$208,";","；")&amp;"；"))*'職業對照'!$C$2:$C$208)</f>
        <v/>
      </c>
      <c r="F91" s="11" t="n"/>
    </row>
    <row r="92" ht="15.75" customHeight="1" s="14">
      <c r="A92" s="10" t="inlineStr">
        <is>
          <t>苦難</t>
        </is>
      </c>
      <c r="B92" s="10" t="inlineStr">
        <is>
          <t>領域</t>
        </is>
      </c>
      <c r="C92" s="10" t="inlineStr">
        <is>
          <t>Endurance</t>
        </is>
      </c>
      <c r="D92" s="6">
        <f>SUMPRODUCT(--ISNUMBER(SEARCH("；"&amp;$A92&amp;"；","；"&amp;SUBSTITUTE('職業對照'!$G$2:$G$208,";","；")&amp;"；")))</f>
        <v/>
      </c>
      <c r="E92" s="6">
        <f>SUMPRODUCT(ISNUMBER(SEARCH("；"&amp;$A92&amp;"；","；"&amp;SUBSTITUTE('職業對照'!$G$2:$G$208,";","；")&amp;"；"))*'職業對照'!$C$2:$C$208)</f>
        <v/>
      </c>
      <c r="F92" s="11" t="n"/>
    </row>
    <row r="93" ht="15.75" customHeight="1" s="14">
      <c r="A93" s="10" t="inlineStr">
        <is>
          <t>解放</t>
        </is>
      </c>
      <c r="B93" s="10" t="inlineStr">
        <is>
          <t>領域</t>
        </is>
      </c>
      <c r="C93" s="10" t="inlineStr">
        <is>
          <t>Liberation</t>
        </is>
      </c>
      <c r="D93" s="6">
        <f>SUMPRODUCT(--ISNUMBER(SEARCH("；"&amp;$A93&amp;"；","；"&amp;SUBSTITUTE('職業對照'!$G$2:$G$208,";","；")&amp;"；")))</f>
        <v/>
      </c>
      <c r="E93" s="6">
        <f>SUMPRODUCT(ISNUMBER(SEARCH("；"&amp;$A93&amp;"；","；"&amp;SUBSTITUTE('職業對照'!$G$2:$G$208,";","；")&amp;"；"))*'職業對照'!$C$2:$C$208)</f>
        <v/>
      </c>
      <c r="F93" s="11" t="n"/>
    </row>
    <row r="94" ht="15.75" customHeight="1" s="14">
      <c r="A94" s="10" t="inlineStr">
        <is>
          <t>造物</t>
        </is>
      </c>
      <c r="B94" s="10" t="inlineStr">
        <is>
          <t>領域</t>
        </is>
      </c>
      <c r="C94" s="10" t="inlineStr">
        <is>
          <t>Creation</t>
        </is>
      </c>
      <c r="D94" s="6">
        <f>SUMPRODUCT(--ISNUMBER(SEARCH("；"&amp;$A94&amp;"；","；"&amp;SUBSTITUTE('職業對照'!$G$2:$G$208,";","；")&amp;"；")))</f>
        <v/>
      </c>
      <c r="E94" s="6">
        <f>SUMPRODUCT(ISNUMBER(SEARCH("；"&amp;$A94&amp;"；","；"&amp;SUBSTITUTE('職業對照'!$G$2:$G$208,";","；")&amp;"；"))*'職業對照'!$C$2:$C$208)</f>
        <v/>
      </c>
      <c r="F94" s="11" t="inlineStr">
        <is>
          <t>合併了創造</t>
        </is>
      </c>
    </row>
    <row r="95" ht="15.75" customHeight="1" s="14">
      <c r="A95" s="10" t="inlineStr">
        <is>
          <t>龍</t>
        </is>
      </c>
      <c r="B95" s="10" t="inlineStr">
        <is>
          <t>領域</t>
        </is>
      </c>
      <c r="C95" s="10" t="inlineStr">
        <is>
          <t>Dragon</t>
        </is>
      </c>
      <c r="D95" s="6">
        <f>SUMPRODUCT(--ISNUMBER(SEARCH("；"&amp;$A95&amp;"；","；"&amp;SUBSTITUTE('職業對照'!$G$2:$G$208,";","；")&amp;"；")))</f>
        <v/>
      </c>
      <c r="E95" s="6">
        <f>SUMPRODUCT(ISNUMBER(SEARCH("；"&amp;$A95&amp;"；","；"&amp;SUBSTITUTE('職業對照'!$G$2:$G$208,";","；")&amp;"；"))*'職業對照'!$C$2:$C$208)</f>
        <v/>
      </c>
      <c r="F95" s="11" t="n"/>
    </row>
    <row r="96" ht="15.75" customHeight="1" s="14">
      <c r="A96" s="10" t="inlineStr">
        <is>
          <t>侏儒</t>
        </is>
      </c>
      <c r="B96" s="10" t="inlineStr">
        <is>
          <t>領域</t>
        </is>
      </c>
      <c r="C96" s="10" t="n"/>
      <c r="D96" s="6">
        <f>SUMPRODUCT(--ISNUMBER(SEARCH("；"&amp;$A96&amp;"；","；"&amp;SUBSTITUTE('職業對照'!$G$2:$G$208,";","；")&amp;"；")))</f>
        <v/>
      </c>
      <c r="E96" s="6">
        <f>SUMPRODUCT(ISNUMBER(SEARCH("；"&amp;$A96&amp;"；","；"&amp;SUBSTITUTE('職業對照'!$G$2:$G$208,";","；")&amp;"；"))*'職業對照'!$C$2:$C$208)</f>
        <v/>
      </c>
      <c r="F96" s="11" t="n"/>
    </row>
    <row r="97" ht="15.75" customHeight="1" s="14">
      <c r="A97" s="10" t="inlineStr">
        <is>
          <t>傳送</t>
        </is>
      </c>
      <c r="B97" s="10" t="inlineStr">
        <is>
          <t>領域</t>
        </is>
      </c>
      <c r="C97" s="10" t="n"/>
      <c r="D97" s="6">
        <f>SUMPRODUCT(--ISNUMBER(SEARCH("；"&amp;$A97&amp;"；","；"&amp;SUBSTITUTE('職業對照'!$G$2:$G$208,";","；")&amp;"；")))</f>
        <v/>
      </c>
      <c r="E97" s="6">
        <f>SUMPRODUCT(ISNUMBER(SEARCH("；"&amp;$A97&amp;"；","；"&amp;SUBSTITUTE('職業對照'!$G$2:$G$208,";","；")&amp;"；"))*'職業對照'!$C$2:$C$208)</f>
        <v/>
      </c>
      <c r="F97" s="11" t="n"/>
    </row>
    <row r="98" ht="15.75" customHeight="1" s="14">
      <c r="A98" s="10" t="inlineStr">
        <is>
          <t>原野</t>
        </is>
      </c>
      <c r="B98" s="10" t="inlineStr">
        <is>
          <t>領域</t>
        </is>
      </c>
      <c r="C98" s="10" t="inlineStr">
        <is>
          <t>Arborea</t>
        </is>
      </c>
      <c r="D98" s="6">
        <f>SUMPRODUCT(--ISNUMBER(SEARCH("；"&amp;$A98&amp;"；","；"&amp;SUBSTITUTE('職業對照'!$G$2:$G$208,";","；")&amp;"；")))</f>
        <v/>
      </c>
      <c r="E98" s="6">
        <f>SUMPRODUCT(ISNUMBER(SEARCH("；"&amp;$A98&amp;"；","；"&amp;SUBSTITUTE('職業對照'!$G$2:$G$208,";","；")&amp;"；"))*'職業對照'!$C$2:$C$208)</f>
        <v/>
      </c>
      <c r="F98" s="11" t="inlineStr">
        <is>
          <t>位面領域（Arborea）</t>
        </is>
      </c>
    </row>
    <row r="99" ht="15.75" customHeight="1" s="14">
      <c r="A99" s="10" t="inlineStr">
        <is>
          <t>夢境</t>
        </is>
      </c>
      <c r="B99" s="10" t="inlineStr">
        <is>
          <t>領域</t>
        </is>
      </c>
      <c r="C99" s="10" t="n"/>
      <c r="D99" s="6">
        <f>SUMPRODUCT(--ISNUMBER(SEARCH("；"&amp;$A99&amp;"；","；"&amp;SUBSTITUTE('職業對照'!$G$2:$G$208,";","；")&amp;"；")))</f>
        <v/>
      </c>
      <c r="E99" s="6">
        <f>SUMPRODUCT(ISNUMBER(SEARCH("；"&amp;$A99&amp;"；","；"&amp;SUBSTITUTE('職業對照'!$G$2:$G$208,";","；")&amp;"；"))*'職業對照'!$C$2:$C$208)</f>
        <v/>
      </c>
      <c r="F99" s="11" t="n"/>
    </row>
    <row r="100" ht="15.75" customHeight="1" s="14">
      <c r="A100" s="10" t="inlineStr">
        <is>
          <t>守護</t>
        </is>
      </c>
      <c r="B100" s="10" t="inlineStr">
        <is>
          <t>領域</t>
        </is>
      </c>
      <c r="C100" s="10" t="n"/>
      <c r="D100" s="6">
        <f>SUMPRODUCT(--ISNUMBER(SEARCH("；"&amp;$A100&amp;"；","；"&amp;SUBSTITUTE('職業對照'!$G$2:$G$208,";","；")&amp;"；")))</f>
        <v/>
      </c>
      <c r="E100" s="6">
        <f>SUMPRODUCT(ISNUMBER(SEARCH("；"&amp;$A100&amp;"；","；"&amp;SUBSTITUTE('職業對照'!$G$2:$G$208,";","；")&amp;"；"))*'職業對照'!$C$2:$C$208)</f>
        <v/>
      </c>
      <c r="F100" s="11" t="n"/>
    </row>
    <row r="101" ht="15.75" customHeight="1" s="14">
      <c r="A101" s="10" t="inlineStr">
        <is>
          <t>岩穴</t>
        </is>
      </c>
      <c r="B101" s="10" t="inlineStr">
        <is>
          <t>領域</t>
        </is>
      </c>
      <c r="C101" s="10" t="n"/>
      <c r="D101" s="6">
        <f>SUMPRODUCT(--ISNUMBER(SEARCH("；"&amp;$A101&amp;"；","；"&amp;SUBSTITUTE('職業對照'!$G$2:$G$208,";","；")&amp;"；")))</f>
        <v/>
      </c>
      <c r="E101" s="6">
        <f>SUMPRODUCT(ISNUMBER(SEARCH("；"&amp;$A101&amp;"；","；"&amp;SUBSTITUTE('職業對照'!$G$2:$G$208,";","；")&amp;"；"))*'職業對照'!$C$2:$C$208)</f>
        <v/>
      </c>
      <c r="F101" s="11" t="n"/>
    </row>
    <row r="102" ht="15.75" customHeight="1" s="14">
      <c r="A102" s="10" t="inlineStr">
        <is>
          <t>憤怒</t>
        </is>
      </c>
      <c r="B102" s="10" t="inlineStr">
        <is>
          <t>領域</t>
        </is>
      </c>
      <c r="C102" s="10" t="n"/>
      <c r="D102" s="6">
        <f>SUMPRODUCT(--ISNUMBER(SEARCH("；"&amp;$A102&amp;"；","；"&amp;SUBSTITUTE('職業對照'!$G$2:$G$208,";","；")&amp;"；")))</f>
        <v/>
      </c>
      <c r="E102" s="6">
        <f>SUMPRODUCT(ISNUMBER(SEARCH("；"&amp;$A102&amp;"；","；"&amp;SUBSTITUTE('職業對照'!$G$2:$G$208,";","；")&amp;"；"))*'職業對照'!$C$2:$C$208)</f>
        <v/>
      </c>
      <c r="F102" s="11" t="n"/>
    </row>
    <row r="103" ht="15.75" customHeight="1" s="14">
      <c r="A103" s="10" t="inlineStr">
        <is>
          <t>暴食</t>
        </is>
      </c>
      <c r="B103" s="10" t="inlineStr">
        <is>
          <t>領域</t>
        </is>
      </c>
      <c r="C103" s="10" t="n"/>
      <c r="D103" s="6">
        <f>SUMPRODUCT(--ISNUMBER(SEARCH("；"&amp;$A103&amp;"；","；"&amp;SUBSTITUTE('職業對照'!$G$2:$G$208,";","；")&amp;"；")))</f>
        <v/>
      </c>
      <c r="E103" s="6">
        <f>SUMPRODUCT(ISNUMBER(SEARCH("；"&amp;$A103&amp;"；","；"&amp;SUBSTITUTE('職業對照'!$G$2:$G$208,";","；")&amp;"；"))*'職業對照'!$C$2:$C$208)</f>
        <v/>
      </c>
      <c r="F103" s="11" t="n"/>
    </row>
    <row r="104" ht="15.75" customHeight="1" s="14">
      <c r="A104" s="10" t="inlineStr">
        <is>
          <t>海洋</t>
        </is>
      </c>
      <c r="B104" s="10" t="inlineStr">
        <is>
          <t>領域</t>
        </is>
      </c>
      <c r="C104" s="10" t="inlineStr">
        <is>
          <t>Ocean</t>
        </is>
      </c>
      <c r="D104" s="6">
        <f>SUMPRODUCT(--ISNUMBER(SEARCH("；"&amp;$A104&amp;"；","；"&amp;SUBSTITUTE('職業對照'!$G$2:$G$208,";","；")&amp;"；")))</f>
        <v/>
      </c>
      <c r="E104" s="6">
        <f>SUMPRODUCT(ISNUMBER(SEARCH("；"&amp;$A104&amp;"；","；"&amp;SUBSTITUTE('職業對照'!$G$2:$G$208,";","；")&amp;"；"))*'職業對照'!$C$2:$C$208)</f>
        <v/>
      </c>
      <c r="F104" s="11" t="n"/>
    </row>
    <row r="105" ht="15.75" customHeight="1" s="14">
      <c r="A105" s="10" t="inlineStr">
        <is>
          <t>溝通</t>
        </is>
      </c>
      <c r="B105" s="10" t="inlineStr">
        <is>
          <t>領域</t>
        </is>
      </c>
      <c r="C105" s="10" t="n"/>
      <c r="D105" s="6">
        <f>SUMPRODUCT(--ISNUMBER(SEARCH("；"&amp;$A105&amp;"；","；"&amp;SUBSTITUTE('職業對照'!$G$2:$G$208,";","；")&amp;"；")))</f>
        <v/>
      </c>
      <c r="E105" s="6">
        <f>SUMPRODUCT(ISNUMBER(SEARCH("；"&amp;$A105&amp;"；","；"&amp;SUBSTITUTE('職業對照'!$G$2:$G$208,";","；")&amp;"；"))*'職業對照'!$C$2:$C$208)</f>
        <v/>
      </c>
      <c r="F105" s="11" t="n"/>
    </row>
    <row r="106" ht="15.75" customHeight="1" s="14">
      <c r="A106" s="10" t="inlineStr">
        <is>
          <t>無定界</t>
        </is>
      </c>
      <c r="B106" s="10" t="inlineStr">
        <is>
          <t>領域</t>
        </is>
      </c>
      <c r="C106" s="10" t="n"/>
      <c r="D106" s="6">
        <f>SUMPRODUCT(--ISNUMBER(SEARCH("；"&amp;$A106&amp;"；","；"&amp;SUBSTITUTE('職業對照'!$G$2:$G$208,";","；")&amp;"；")))</f>
        <v/>
      </c>
      <c r="E106" s="6">
        <f>SUMPRODUCT(ISNUMBER(SEARCH("；"&amp;$A106&amp;"；","；"&amp;SUBSTITUTE('職業對照'!$G$2:$G$208,";","；")&amp;"；"))*'職業對照'!$C$2:$C$208)</f>
        <v/>
      </c>
      <c r="F106" s="11" t="inlineStr">
        <is>
          <t>位面領域</t>
        </is>
      </c>
    </row>
    <row r="107" ht="15.75" customHeight="1" s="14">
      <c r="A107" s="10" t="inlineStr">
        <is>
          <t>狂亂</t>
        </is>
      </c>
      <c r="B107" s="10" t="inlineStr">
        <is>
          <t>領域</t>
        </is>
      </c>
      <c r="C107" s="10" t="n"/>
      <c r="D107" s="6">
        <f>SUMPRODUCT(--ISNUMBER(SEARCH("；"&amp;$A107&amp;"；","；"&amp;SUBSTITUTE('職業對照'!$G$2:$G$208,";","；")&amp;"；")))</f>
        <v/>
      </c>
      <c r="E107" s="6">
        <f>SUMPRODUCT(ISNUMBER(SEARCH("；"&amp;$A107&amp;"；","；"&amp;SUBSTITUTE('職業對照'!$G$2:$G$208,";","；")&amp;"；"))*'職業對照'!$C$2:$C$208)</f>
        <v/>
      </c>
      <c r="F107" s="11" t="n"/>
    </row>
    <row r="108" ht="15.75" customHeight="1" s="14">
      <c r="A108" s="10" t="inlineStr">
        <is>
          <t>社會</t>
        </is>
      </c>
      <c r="B108" s="10" t="inlineStr">
        <is>
          <t>領域</t>
        </is>
      </c>
      <c r="C108" s="10" t="inlineStr">
        <is>
          <t>Community</t>
        </is>
      </c>
      <c r="D108" s="6">
        <f>SUMPRODUCT(--ISNUMBER(SEARCH("；"&amp;$A108&amp;"；","；"&amp;SUBSTITUTE('職業對照'!$G$2:$G$208,";","；")&amp;"；")))</f>
        <v/>
      </c>
      <c r="E108" s="6">
        <f>SUMPRODUCT(ISNUMBER(SEARCH("；"&amp;$A108&amp;"；","；"&amp;SUBSTITUTE('職業對照'!$G$2:$G$208,";","；")&amp;"；"))*'職業對照'!$C$2:$C$208)</f>
        <v/>
      </c>
      <c r="F108" s="11" t="n"/>
    </row>
    <row r="109" ht="15.75" customHeight="1" s="14">
      <c r="A109" s="10" t="inlineStr">
        <is>
          <t>符文</t>
        </is>
      </c>
      <c r="B109" s="10" t="inlineStr">
        <is>
          <t>領域</t>
        </is>
      </c>
      <c r="C109" s="10" t="n"/>
      <c r="D109" s="6">
        <f>SUMPRODUCT(--ISNUMBER(SEARCH("；"&amp;$A109&amp;"；","；"&amp;SUBSTITUTE('職業對照'!$G$2:$G$208,";","；")&amp;"；")))</f>
        <v/>
      </c>
      <c r="E109" s="6">
        <f>SUMPRODUCT(ISNUMBER(SEARCH("；"&amp;$A109&amp;"；","；"&amp;SUBSTITUTE('職業對照'!$G$2:$G$208,";","；")&amp;"；"))*'職業對照'!$C$2:$C$208)</f>
        <v/>
      </c>
      <c r="F109" s="11" t="n"/>
    </row>
    <row r="110" ht="15.75" customHeight="1" s="14">
      <c r="A110" s="10" t="inlineStr">
        <is>
          <t>誓約</t>
        </is>
      </c>
      <c r="B110" s="10" t="inlineStr">
        <is>
          <t>領域</t>
        </is>
      </c>
      <c r="C110" s="10" t="n"/>
      <c r="D110" s="6">
        <f>SUMPRODUCT(--ISNUMBER(SEARCH("；"&amp;$A110&amp;"；","；"&amp;SUBSTITUTE('職業對照'!$G$2:$G$208,";","；")&amp;"；")))</f>
        <v/>
      </c>
      <c r="E110" s="6">
        <f>SUMPRODUCT(ISNUMBER(SEARCH("；"&amp;$A110&amp;"；","；"&amp;SUBSTITUTE('職業對照'!$G$2:$G$208,";","；")&amp;"；"))*'職業對照'!$C$2:$C$208)</f>
        <v/>
      </c>
      <c r="F110" s="11" t="n"/>
    </row>
    <row r="111" ht="15.75" customHeight="1" s="14">
      <c r="A111" s="10" t="inlineStr">
        <is>
          <t>貿易</t>
        </is>
      </c>
      <c r="B111" s="10" t="inlineStr">
        <is>
          <t>領域</t>
        </is>
      </c>
      <c r="C111" s="10" t="n"/>
      <c r="D111" s="6">
        <f>SUMPRODUCT(--ISNUMBER(SEARCH("；"&amp;$A111&amp;"；","；"&amp;SUBSTITUTE('職業對照'!$G$2:$G$208,";","；")&amp;"；")))</f>
        <v/>
      </c>
      <c r="E111" s="6">
        <f>SUMPRODUCT(ISNUMBER(SEARCH("；"&amp;$A111&amp;"；","；"&amp;SUBSTITUTE('職業對照'!$G$2:$G$208,";","；")&amp;"；"))*'職業對照'!$C$2:$C$208)</f>
        <v/>
      </c>
      <c r="F111" s="11" t="n"/>
    </row>
    <row r="112" ht="15.75" customHeight="1" s="14">
      <c r="A112" s="10" t="inlineStr">
        <is>
          <t>迅捷</t>
        </is>
      </c>
      <c r="B112" s="10" t="inlineStr">
        <is>
          <t>領域</t>
        </is>
      </c>
      <c r="C112" s="10" t="inlineStr">
        <is>
          <t>Celerity</t>
        </is>
      </c>
      <c r="D112" s="6">
        <f>SUMPRODUCT(--ISNUMBER(SEARCH("；"&amp;$A112&amp;"；","；"&amp;SUBSTITUTE('職業對照'!$G$2:$G$208,";","；")&amp;"；")))</f>
        <v/>
      </c>
      <c r="E112" s="6">
        <f>SUMPRODUCT(ISNUMBER(SEARCH("；"&amp;$A112&amp;"；","；"&amp;SUBSTITUTE('職業對照'!$G$2:$G$208,";","；")&amp;"；"))*'職業對照'!$C$2:$C$208)</f>
        <v/>
      </c>
      <c r="F112" s="11" t="n"/>
    </row>
    <row r="113" ht="15.75" customHeight="1" s="14">
      <c r="A113" s="10" t="inlineStr">
        <is>
          <t>黑帝斯</t>
        </is>
      </c>
      <c r="B113" s="10" t="inlineStr">
        <is>
          <t>領域</t>
        </is>
      </c>
      <c r="C113" s="10" t="n"/>
      <c r="D113" s="6">
        <f>SUMPRODUCT(--ISNUMBER(SEARCH("；"&amp;$A113&amp;"；","；"&amp;SUBSTITUTE('職業對照'!$G$2:$G$208,";","；")&amp;"；")))</f>
        <v/>
      </c>
      <c r="E113" s="6">
        <f>SUMPRODUCT(ISNUMBER(SEARCH("；"&amp;$A113&amp;"；","；"&amp;SUBSTITUTE('職業對照'!$G$2:$G$208,";","；")&amp;"；"))*'職業對照'!$C$2:$C$208)</f>
        <v/>
      </c>
      <c r="F113" s="11" t="inlineStr">
        <is>
          <t>位面領域</t>
        </is>
      </c>
    </row>
    <row r="114" ht="15.75" customHeight="1" s="14">
      <c r="A114" s="10" t="inlineStr">
        <is>
          <t>聖潔</t>
        </is>
      </c>
      <c r="B114" s="10" t="inlineStr">
        <is>
          <t>其他</t>
        </is>
      </c>
      <c r="C114" s="10" t="inlineStr">
        <is>
          <t>Sanctified</t>
        </is>
      </c>
      <c r="D114" s="6">
        <f>SUMPRODUCT(--ISNUMBER(SEARCH("；"&amp;$A114&amp;"；","；"&amp;SUBSTITUTE('職業對照'!$G$2:$G$208,";","；")&amp;"；")))</f>
        <v/>
      </c>
      <c r="E114" s="6">
        <f>SUMPRODUCT(ISNUMBER(SEARCH("；"&amp;$A114&amp;"；","；"&amp;SUBSTITUTE('職業對照'!$G$2:$G$208,";","；")&amp;"；"))*'職業對照'!$C$2:$C$208)</f>
        <v/>
      </c>
      <c r="F114" s="11" t="inlineStr">
        <is>
          <t>《崇善之書》的聖潔法術類別，不是職業</t>
        </is>
      </c>
    </row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autoFilter ref="A1:F114"/>
  <pageMargins left="0.75" right="0.75" top="1" bottom="1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2026-09-19T13:17:45Z</dcterms:created>
  <dcterms:modified xsi:type="dcterms:W3CDTF">2026-09-19T13:31:39Z</dcterms:modified>
</cp:coreProperties>
</file>